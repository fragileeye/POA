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330" activeTab="6"/>
  </bookViews>
  <sheets>
    <sheet name="diff-attack-1" sheetId="17" r:id="rId1"/>
    <sheet name="diff-attack-2" sheetId="18" r:id="rId2"/>
    <sheet name="seg-mgmt-1" sheetId="1" r:id="rId3"/>
    <sheet name="seg-mgmt-2" sheetId="19" r:id="rId4"/>
    <sheet name="rule-replace-gen-1s" sheetId="2" r:id="rId5"/>
    <sheet name="rule-replace-gen-0.1s" sheetId="3" r:id="rId6"/>
    <sheet name="rule-replace-gen-0.01s" sheetId="4" r:id="rId7"/>
    <sheet name="rule-replace-gen-0.1+1s" sheetId="5" r:id="rId8"/>
    <sheet name="rule-replace-gen-0.01+1s" sheetId="6" r:id="rId9"/>
    <sheet name="rule-replace-gen-0.01+0.1s" sheetId="7" r:id="rId10"/>
    <sheet name="rule-replace-tr-1s" sheetId="8" r:id="rId11"/>
    <sheet name="rule-replace-tr-0.1s" sheetId="9" r:id="rId12"/>
    <sheet name="rule-replace-tr-0.01s" sheetId="10" r:id="rId13"/>
    <sheet name="rule-replace-tr-0.1+1s" sheetId="11" r:id="rId14"/>
    <sheet name="rule-replace-tr-0.01+1s" sheetId="12" r:id="rId15"/>
    <sheet name="rule-replace-tr-0.01+0.1s" sheetId="13" r:id="rId16"/>
    <sheet name="auc_line-1" sheetId="14" r:id="rId17"/>
    <sheet name="auc_line-2" sheetId="15" r:id="rId18"/>
    <sheet name="auc_line-3" sheetId="16" r:id="rId19"/>
    <sheet name="cpu" sheetId="20" r:id="rId20"/>
    <sheet name="r-value" sheetId="21" r:id="rId21"/>
  </sheets>
  <calcPr calcId="144525"/>
</workbook>
</file>

<file path=xl/sharedStrings.xml><?xml version="1.0" encoding="utf-8"?>
<sst xmlns="http://schemas.openxmlformats.org/spreadsheetml/2006/main" count="175" uniqueCount="50">
  <si>
    <t>Flooding</t>
  </si>
  <si>
    <t>Pers_1s</t>
  </si>
  <si>
    <t>Pers_0.1s</t>
  </si>
  <si>
    <t>Pers_0.01s</t>
  </si>
  <si>
    <t>MEDIAN</t>
  </si>
  <si>
    <t>DELTA_MAX</t>
  </si>
  <si>
    <t>DELTA_MIN</t>
  </si>
  <si>
    <t>Persistent</t>
  </si>
  <si>
    <t>Unprotected</t>
  </si>
  <si>
    <t>Seg_9:1</t>
  </si>
  <si>
    <t>Seg_8:2</t>
  </si>
  <si>
    <t>Seg_7:3</t>
  </si>
  <si>
    <t>Seg_6:4</t>
  </si>
  <si>
    <t>Seg_5:5</t>
  </si>
  <si>
    <t>Non_Prob</t>
  </si>
  <si>
    <t>Prob</t>
  </si>
  <si>
    <t>FIFO</t>
  </si>
  <si>
    <t>Random</t>
  </si>
  <si>
    <t>LFU</t>
  </si>
  <si>
    <t>Score</t>
  </si>
  <si>
    <t>0.01_fix</t>
  </si>
  <si>
    <t>0.01_rand</t>
  </si>
  <si>
    <t>0-1_fix</t>
  </si>
  <si>
    <t>0-1_rand</t>
  </si>
  <si>
    <t>1_fix</t>
  </si>
  <si>
    <t>1_rand</t>
  </si>
  <si>
    <t>delta_up</t>
  </si>
  <si>
    <t>delta_down</t>
  </si>
  <si>
    <t>9_1_fix</t>
  </si>
  <si>
    <t>8_2_fix</t>
  </si>
  <si>
    <t>7_3_fix</t>
  </si>
  <si>
    <t>6_4_fix</t>
  </si>
  <si>
    <t>5_5_fix</t>
  </si>
  <si>
    <t>9_1_rand</t>
  </si>
  <si>
    <t>8_2_rand</t>
  </si>
  <si>
    <t>7_3_rand</t>
  </si>
  <si>
    <t>6_4_rand</t>
  </si>
  <si>
    <t>5_5_rand</t>
  </si>
  <si>
    <t>fix</t>
  </si>
  <si>
    <t>70/30</t>
  </si>
  <si>
    <t>rand</t>
  </si>
  <si>
    <t>65/35</t>
  </si>
  <si>
    <t>60/40</t>
  </si>
  <si>
    <t>55/45</t>
  </si>
  <si>
    <t>50/50</t>
  </si>
  <si>
    <t>45/55</t>
  </si>
  <si>
    <t>40/60</t>
  </si>
  <si>
    <t>35/65</t>
  </si>
  <si>
    <t>30/70</t>
  </si>
  <si>
    <t>MEAN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</si>
</sst>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elete val="1"/>
          </c:dLbls>
          <c:errBars>
            <c:errBarType val="both"/>
            <c:errValType val="cust"/>
            <c:noEndCap val="0"/>
            <c:plus>
              <c:numRef>
                <c:f>'diff-attack-1'!$F$3:$I$3</c:f>
                <c:numCache>
                  <c:formatCode>General</c:formatCode>
                  <c:ptCount val="4"/>
                  <c:pt idx="0">
                    <c:v>0.334077</c:v>
                  </c:pt>
                  <c:pt idx="1">
                    <c:v>11.747555</c:v>
                  </c:pt>
                  <c:pt idx="2">
                    <c:v>12.764158</c:v>
                  </c:pt>
                  <c:pt idx="3">
                    <c:v>26.1842605</c:v>
                  </c:pt>
                </c:numCache>
              </c:numRef>
            </c:plus>
            <c:minus>
              <c:numRef>
                <c:f>'diff-attack-1'!$F$4:$I$4</c:f>
                <c:numCache>
                  <c:formatCode>General</c:formatCode>
                  <c:ptCount val="4"/>
                  <c:pt idx="0">
                    <c:v>0.316319</c:v>
                  </c:pt>
                  <c:pt idx="1">
                    <c:v>8.057556</c:v>
                  </c:pt>
                  <c:pt idx="2">
                    <c:v>27.246555</c:v>
                  </c:pt>
                  <c:pt idx="3">
                    <c:v>36.5028125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'diff-attack-1'!$F$1:$I$1</c:f>
              <c:strCache>
                <c:ptCount val="4"/>
                <c:pt idx="0">
                  <c:v>Flooding</c:v>
                </c:pt>
                <c:pt idx="1">
                  <c:v>Pers_1s</c:v>
                </c:pt>
                <c:pt idx="2">
                  <c:v>Pers_0.1s</c:v>
                </c:pt>
                <c:pt idx="3">
                  <c:v>Pers_0.01s</c:v>
                </c:pt>
              </c:strCache>
            </c:strRef>
          </c:cat>
          <c:val>
            <c:numRef>
              <c:f>'diff-attack-1'!$F$2:$I$2</c:f>
              <c:numCache>
                <c:formatCode>General</c:formatCode>
                <c:ptCount val="4"/>
                <c:pt idx="0">
                  <c:v>3.338354</c:v>
                </c:pt>
                <c:pt idx="1">
                  <c:v>50.490527</c:v>
                </c:pt>
                <c:pt idx="2">
                  <c:v>62.434171</c:v>
                </c:pt>
                <c:pt idx="3">
                  <c:v>76.2404445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727136"/>
        <c:axId val="985713824"/>
      </c:barChart>
      <c:catAx>
        <c:axId val="98572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985713824"/>
        <c:crosses val="autoZero"/>
        <c:auto val="1"/>
        <c:lblAlgn val="ctr"/>
        <c:lblOffset val="100"/>
        <c:noMultiLvlLbl val="0"/>
      </c:catAx>
      <c:valAx>
        <c:axId val="9857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Task delay(s)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0166666666666667"/>
              <c:y val="0.3421336395450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98572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486089238845"/>
          <c:y val="0.139938977131451"/>
          <c:w val="0.768847244094488"/>
          <c:h val="0.718483380837744"/>
        </c:manualLayout>
      </c:layout>
      <c:lineChart>
        <c:grouping val="standard"/>
        <c:varyColors val="0"/>
        <c:ser>
          <c:idx val="0"/>
          <c:order val="0"/>
          <c:tx>
            <c:strRef>
              <c:f>'diff-attack-2'!$A$1</c:f>
              <c:strCache>
                <c:ptCount val="1"/>
                <c:pt idx="0">
                  <c:v>Flooding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'diff-attack-2'!$A$2:$A$101</c:f>
              <c:numCache>
                <c:formatCode>General</c:formatCode>
                <c:ptCount val="100"/>
                <c:pt idx="0">
                  <c:v>14</c:v>
                </c:pt>
                <c:pt idx="1">
                  <c:v>8520</c:v>
                </c:pt>
                <c:pt idx="2">
                  <c:v>15323</c:v>
                </c:pt>
                <c:pt idx="3">
                  <c:v>5075</c:v>
                </c:pt>
                <c:pt idx="4">
                  <c:v>3353</c:v>
                </c:pt>
                <c:pt idx="5">
                  <c:v>11378</c:v>
                </c:pt>
                <c:pt idx="6">
                  <c:v>14500</c:v>
                </c:pt>
                <c:pt idx="7">
                  <c:v>233</c:v>
                </c:pt>
                <c:pt idx="8">
                  <c:v>7715</c:v>
                </c:pt>
                <c:pt idx="9">
                  <c:v>13135</c:v>
                </c:pt>
                <c:pt idx="10">
                  <c:v>7620</c:v>
                </c:pt>
                <c:pt idx="11">
                  <c:v>5995</c:v>
                </c:pt>
                <c:pt idx="12">
                  <c:v>13915</c:v>
                </c:pt>
                <c:pt idx="13">
                  <c:v>4106</c:v>
                </c:pt>
                <c:pt idx="14">
                  <c:v>270</c:v>
                </c:pt>
                <c:pt idx="15">
                  <c:v>10956</c:v>
                </c:pt>
                <c:pt idx="16">
                  <c:v>13525</c:v>
                </c:pt>
                <c:pt idx="17">
                  <c:v>5253</c:v>
                </c:pt>
                <c:pt idx="18">
                  <c:v>6042</c:v>
                </c:pt>
                <c:pt idx="19">
                  <c:v>11265</c:v>
                </c:pt>
                <c:pt idx="20">
                  <c:v>14556</c:v>
                </c:pt>
                <c:pt idx="21">
                  <c:v>563</c:v>
                </c:pt>
                <c:pt idx="22">
                  <c:v>9784</c:v>
                </c:pt>
                <c:pt idx="23">
                  <c:v>12217</c:v>
                </c:pt>
                <c:pt idx="24">
                  <c:v>4789</c:v>
                </c:pt>
                <c:pt idx="25">
                  <c:v>3371</c:v>
                </c:pt>
                <c:pt idx="26">
                  <c:v>11249</c:v>
                </c:pt>
                <c:pt idx="27">
                  <c:v>13272</c:v>
                </c:pt>
                <c:pt idx="28">
                  <c:v>3031</c:v>
                </c:pt>
                <c:pt idx="29">
                  <c:v>11650</c:v>
                </c:pt>
                <c:pt idx="30">
                  <c:v>12870</c:v>
                </c:pt>
                <c:pt idx="31">
                  <c:v>20</c:v>
                </c:pt>
                <c:pt idx="32">
                  <c:v>3010</c:v>
                </c:pt>
                <c:pt idx="33">
                  <c:v>12086</c:v>
                </c:pt>
                <c:pt idx="34">
                  <c:v>13211</c:v>
                </c:pt>
                <c:pt idx="35">
                  <c:v>2430</c:v>
                </c:pt>
                <c:pt idx="36">
                  <c:v>8678</c:v>
                </c:pt>
                <c:pt idx="37">
                  <c:v>13315</c:v>
                </c:pt>
                <c:pt idx="38">
                  <c:v>1096</c:v>
                </c:pt>
                <c:pt idx="39">
                  <c:v>7894</c:v>
                </c:pt>
                <c:pt idx="40">
                  <c:v>12044</c:v>
                </c:pt>
                <c:pt idx="41">
                  <c:v>9584</c:v>
                </c:pt>
                <c:pt idx="42">
                  <c:v>766</c:v>
                </c:pt>
                <c:pt idx="43">
                  <c:v>8431</c:v>
                </c:pt>
                <c:pt idx="44">
                  <c:v>13051</c:v>
                </c:pt>
                <c:pt idx="45">
                  <c:v>8892</c:v>
                </c:pt>
                <c:pt idx="46">
                  <c:v>7726</c:v>
                </c:pt>
                <c:pt idx="47">
                  <c:v>11844</c:v>
                </c:pt>
                <c:pt idx="48">
                  <c:v>6804</c:v>
                </c:pt>
                <c:pt idx="49">
                  <c:v>670</c:v>
                </c:pt>
                <c:pt idx="50">
                  <c:v>10082</c:v>
                </c:pt>
                <c:pt idx="51">
                  <c:v>13277</c:v>
                </c:pt>
                <c:pt idx="52">
                  <c:v>6731</c:v>
                </c:pt>
                <c:pt idx="53">
                  <c:v>8174</c:v>
                </c:pt>
                <c:pt idx="54">
                  <c:v>12750</c:v>
                </c:pt>
                <c:pt idx="55">
                  <c:v>2505</c:v>
                </c:pt>
                <c:pt idx="56">
                  <c:v>794</c:v>
                </c:pt>
                <c:pt idx="57">
                  <c:v>9600</c:v>
                </c:pt>
                <c:pt idx="58">
                  <c:v>13280</c:v>
                </c:pt>
                <c:pt idx="59">
                  <c:v>6885</c:v>
                </c:pt>
                <c:pt idx="60">
                  <c:v>5493</c:v>
                </c:pt>
                <c:pt idx="61">
                  <c:v>11224</c:v>
                </c:pt>
                <c:pt idx="62">
                  <c:v>11786</c:v>
                </c:pt>
                <c:pt idx="63">
                  <c:v>714</c:v>
                </c:pt>
                <c:pt idx="64">
                  <c:v>9389</c:v>
                </c:pt>
                <c:pt idx="65">
                  <c:v>12381</c:v>
                </c:pt>
                <c:pt idx="66">
                  <c:v>4697</c:v>
                </c:pt>
                <c:pt idx="67">
                  <c:v>8880</c:v>
                </c:pt>
                <c:pt idx="68">
                  <c:v>13585</c:v>
                </c:pt>
                <c:pt idx="69">
                  <c:v>7826</c:v>
                </c:pt>
                <c:pt idx="70">
                  <c:v>1963</c:v>
                </c:pt>
                <c:pt idx="71">
                  <c:v>10252</c:v>
                </c:pt>
                <c:pt idx="72">
                  <c:v>12722</c:v>
                </c:pt>
                <c:pt idx="73">
                  <c:v>6492</c:v>
                </c:pt>
                <c:pt idx="74">
                  <c:v>7084</c:v>
                </c:pt>
                <c:pt idx="75">
                  <c:v>12476</c:v>
                </c:pt>
                <c:pt idx="76">
                  <c:v>11048</c:v>
                </c:pt>
                <c:pt idx="77">
                  <c:v>1224</c:v>
                </c:pt>
                <c:pt idx="78">
                  <c:v>8634</c:v>
                </c:pt>
                <c:pt idx="79">
                  <c:v>13699</c:v>
                </c:pt>
                <c:pt idx="80">
                  <c:v>7248</c:v>
                </c:pt>
                <c:pt idx="81">
                  <c:v>6506</c:v>
                </c:pt>
                <c:pt idx="82">
                  <c:v>13048</c:v>
                </c:pt>
                <c:pt idx="83">
                  <c:v>2957</c:v>
                </c:pt>
                <c:pt idx="84">
                  <c:v>1259</c:v>
                </c:pt>
                <c:pt idx="85">
                  <c:v>11403</c:v>
                </c:pt>
                <c:pt idx="86">
                  <c:v>13962</c:v>
                </c:pt>
                <c:pt idx="87">
                  <c:v>3993</c:v>
                </c:pt>
                <c:pt idx="88">
                  <c:v>8175</c:v>
                </c:pt>
                <c:pt idx="89">
                  <c:v>12090</c:v>
                </c:pt>
                <c:pt idx="90">
                  <c:v>3727</c:v>
                </c:pt>
                <c:pt idx="91">
                  <c:v>2998</c:v>
                </c:pt>
                <c:pt idx="92">
                  <c:v>9504</c:v>
                </c:pt>
                <c:pt idx="93">
                  <c:v>11905</c:v>
                </c:pt>
                <c:pt idx="94">
                  <c:v>7719</c:v>
                </c:pt>
                <c:pt idx="95">
                  <c:v>7766</c:v>
                </c:pt>
                <c:pt idx="96">
                  <c:v>12310</c:v>
                </c:pt>
                <c:pt idx="97">
                  <c:v>5549</c:v>
                </c:pt>
                <c:pt idx="98">
                  <c:v>5117</c:v>
                </c:pt>
                <c:pt idx="99">
                  <c:v>10428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'diff-attack-2'!$B$1</c:f>
              <c:strCache>
                <c:ptCount val="1"/>
                <c:pt idx="0">
                  <c:v>Persistent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'diff-attack-2'!$B$2:$B$101</c:f>
              <c:numCache>
                <c:formatCode>General</c:formatCode>
                <c:ptCount val="100"/>
                <c:pt idx="0">
                  <c:v>14</c:v>
                </c:pt>
                <c:pt idx="1">
                  <c:v>14</c:v>
                </c:pt>
                <c:pt idx="2">
                  <c:v>5287</c:v>
                </c:pt>
                <c:pt idx="3">
                  <c:v>4276</c:v>
                </c:pt>
                <c:pt idx="4">
                  <c:v>22</c:v>
                </c:pt>
                <c:pt idx="5">
                  <c:v>22</c:v>
                </c:pt>
                <c:pt idx="6">
                  <c:v>20</c:v>
                </c:pt>
                <c:pt idx="7">
                  <c:v>1649</c:v>
                </c:pt>
                <c:pt idx="8">
                  <c:v>4786</c:v>
                </c:pt>
                <c:pt idx="9">
                  <c:v>4865</c:v>
                </c:pt>
                <c:pt idx="10">
                  <c:v>5310</c:v>
                </c:pt>
                <c:pt idx="11">
                  <c:v>4213</c:v>
                </c:pt>
                <c:pt idx="12">
                  <c:v>4359</c:v>
                </c:pt>
                <c:pt idx="13">
                  <c:v>5242</c:v>
                </c:pt>
                <c:pt idx="14">
                  <c:v>4044</c:v>
                </c:pt>
                <c:pt idx="15">
                  <c:v>4704</c:v>
                </c:pt>
                <c:pt idx="16">
                  <c:v>5334</c:v>
                </c:pt>
                <c:pt idx="17">
                  <c:v>4750</c:v>
                </c:pt>
                <c:pt idx="18">
                  <c:v>5285</c:v>
                </c:pt>
                <c:pt idx="19">
                  <c:v>4782</c:v>
                </c:pt>
                <c:pt idx="20">
                  <c:v>5471</c:v>
                </c:pt>
                <c:pt idx="21">
                  <c:v>3868</c:v>
                </c:pt>
                <c:pt idx="22">
                  <c:v>4891</c:v>
                </c:pt>
                <c:pt idx="23">
                  <c:v>4426</c:v>
                </c:pt>
                <c:pt idx="24">
                  <c:v>4544</c:v>
                </c:pt>
                <c:pt idx="25">
                  <c:v>4635</c:v>
                </c:pt>
                <c:pt idx="26">
                  <c:v>5135</c:v>
                </c:pt>
                <c:pt idx="27">
                  <c:v>4726</c:v>
                </c:pt>
                <c:pt idx="28">
                  <c:v>4875</c:v>
                </c:pt>
                <c:pt idx="29">
                  <c:v>4152</c:v>
                </c:pt>
                <c:pt idx="30">
                  <c:v>4416</c:v>
                </c:pt>
                <c:pt idx="31">
                  <c:v>4212</c:v>
                </c:pt>
                <c:pt idx="32">
                  <c:v>4663</c:v>
                </c:pt>
                <c:pt idx="33">
                  <c:v>4984</c:v>
                </c:pt>
                <c:pt idx="34">
                  <c:v>4006</c:v>
                </c:pt>
                <c:pt idx="35">
                  <c:v>5645</c:v>
                </c:pt>
                <c:pt idx="36">
                  <c:v>5693</c:v>
                </c:pt>
                <c:pt idx="37">
                  <c:v>4474</c:v>
                </c:pt>
                <c:pt idx="38">
                  <c:v>4776</c:v>
                </c:pt>
                <c:pt idx="39">
                  <c:v>5853</c:v>
                </c:pt>
                <c:pt idx="40">
                  <c:v>5179</c:v>
                </c:pt>
                <c:pt idx="41">
                  <c:v>5443</c:v>
                </c:pt>
                <c:pt idx="42">
                  <c:v>5532</c:v>
                </c:pt>
                <c:pt idx="43">
                  <c:v>5286</c:v>
                </c:pt>
                <c:pt idx="44">
                  <c:v>4774</c:v>
                </c:pt>
                <c:pt idx="45">
                  <c:v>6245</c:v>
                </c:pt>
                <c:pt idx="46">
                  <c:v>5757</c:v>
                </c:pt>
                <c:pt idx="47">
                  <c:v>4939</c:v>
                </c:pt>
                <c:pt idx="48">
                  <c:v>5074</c:v>
                </c:pt>
                <c:pt idx="49">
                  <c:v>5364</c:v>
                </c:pt>
                <c:pt idx="50">
                  <c:v>5434</c:v>
                </c:pt>
                <c:pt idx="51">
                  <c:v>5050</c:v>
                </c:pt>
                <c:pt idx="52">
                  <c:v>6111</c:v>
                </c:pt>
                <c:pt idx="53">
                  <c:v>6153</c:v>
                </c:pt>
                <c:pt idx="54">
                  <c:v>5140</c:v>
                </c:pt>
                <c:pt idx="55">
                  <c:v>5598</c:v>
                </c:pt>
                <c:pt idx="56">
                  <c:v>4939</c:v>
                </c:pt>
                <c:pt idx="57">
                  <c:v>4532</c:v>
                </c:pt>
                <c:pt idx="58">
                  <c:v>6307</c:v>
                </c:pt>
                <c:pt idx="59">
                  <c:v>6178</c:v>
                </c:pt>
                <c:pt idx="60">
                  <c:v>4617</c:v>
                </c:pt>
                <c:pt idx="61">
                  <c:v>5093</c:v>
                </c:pt>
                <c:pt idx="62">
                  <c:v>5676</c:v>
                </c:pt>
                <c:pt idx="63">
                  <c:v>5803</c:v>
                </c:pt>
                <c:pt idx="64">
                  <c:v>4671</c:v>
                </c:pt>
                <c:pt idx="65">
                  <c:v>5480</c:v>
                </c:pt>
                <c:pt idx="66">
                  <c:v>5987</c:v>
                </c:pt>
                <c:pt idx="67">
                  <c:v>4953</c:v>
                </c:pt>
                <c:pt idx="68">
                  <c:v>5041</c:v>
                </c:pt>
                <c:pt idx="69">
                  <c:v>6564</c:v>
                </c:pt>
                <c:pt idx="70">
                  <c:v>4789</c:v>
                </c:pt>
                <c:pt idx="71">
                  <c:v>5687</c:v>
                </c:pt>
                <c:pt idx="72">
                  <c:v>6356</c:v>
                </c:pt>
                <c:pt idx="73">
                  <c:v>5553</c:v>
                </c:pt>
                <c:pt idx="74">
                  <c:v>4867</c:v>
                </c:pt>
                <c:pt idx="75">
                  <c:v>6215</c:v>
                </c:pt>
                <c:pt idx="76">
                  <c:v>5966</c:v>
                </c:pt>
                <c:pt idx="77">
                  <c:v>4913</c:v>
                </c:pt>
                <c:pt idx="78">
                  <c:v>5376</c:v>
                </c:pt>
                <c:pt idx="79">
                  <c:v>5819</c:v>
                </c:pt>
                <c:pt idx="80">
                  <c:v>4698</c:v>
                </c:pt>
                <c:pt idx="81">
                  <c:v>5811</c:v>
                </c:pt>
                <c:pt idx="82">
                  <c:v>5536</c:v>
                </c:pt>
                <c:pt idx="83">
                  <c:v>5071</c:v>
                </c:pt>
                <c:pt idx="84">
                  <c:v>5651</c:v>
                </c:pt>
                <c:pt idx="85">
                  <c:v>6329</c:v>
                </c:pt>
                <c:pt idx="86">
                  <c:v>5924</c:v>
                </c:pt>
                <c:pt idx="87">
                  <c:v>4684</c:v>
                </c:pt>
                <c:pt idx="88">
                  <c:v>5480</c:v>
                </c:pt>
                <c:pt idx="89">
                  <c:v>5724</c:v>
                </c:pt>
                <c:pt idx="90">
                  <c:v>5260</c:v>
                </c:pt>
                <c:pt idx="91">
                  <c:v>5662</c:v>
                </c:pt>
                <c:pt idx="92">
                  <c:v>5688</c:v>
                </c:pt>
                <c:pt idx="93">
                  <c:v>4981</c:v>
                </c:pt>
                <c:pt idx="94">
                  <c:v>5785</c:v>
                </c:pt>
                <c:pt idx="95">
                  <c:v>6178</c:v>
                </c:pt>
                <c:pt idx="96">
                  <c:v>5954</c:v>
                </c:pt>
                <c:pt idx="97">
                  <c:v>4486</c:v>
                </c:pt>
                <c:pt idx="98">
                  <c:v>6319</c:v>
                </c:pt>
                <c:pt idx="99">
                  <c:v>4881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5156207"/>
        <c:axId val="185157039"/>
      </c:lineChart>
      <c:catAx>
        <c:axId val="18515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Timespan(s)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85157039"/>
        <c:crosses val="autoZero"/>
        <c:auto val="1"/>
        <c:lblAlgn val="ctr"/>
        <c:lblOffset val="100"/>
        <c:tickLblSkip val="9"/>
        <c:noMultiLvlLbl val="0"/>
      </c:catAx>
      <c:valAx>
        <c:axId val="185157039"/>
        <c:scaling>
          <c:orientation val="minMax"/>
          <c:max val="1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 Throughput of control channel(pkts/s)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0266666666666667"/>
              <c:y val="0.14833318043345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8515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249273851068"/>
          <c:y val="0.0654337110300237"/>
          <c:w val="0.831969320804819"/>
          <c:h val="0.7967253483558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elete val="1"/>
          </c:dLbls>
          <c:errBars>
            <c:errBarType val="both"/>
            <c:errValType val="cust"/>
            <c:noEndCap val="0"/>
            <c:plus>
              <c:numRef>
                <c:f>'seg-mgmt-1'!$H$3:$M$3</c:f>
                <c:numCache>
                  <c:formatCode>General</c:formatCode>
                  <c:ptCount val="6"/>
                  <c:pt idx="0">
                    <c:v>26.1842605</c:v>
                  </c:pt>
                  <c:pt idx="1">
                    <c:v>4.5698715</c:v>
                  </c:pt>
                  <c:pt idx="2">
                    <c:v>0.474653</c:v>
                  </c:pt>
                  <c:pt idx="3">
                    <c:v>0.3466675</c:v>
                  </c:pt>
                  <c:pt idx="4">
                    <c:v>0.404723</c:v>
                  </c:pt>
                  <c:pt idx="5">
                    <c:v>0.4198825</c:v>
                  </c:pt>
                </c:numCache>
              </c:numRef>
            </c:plus>
            <c:minus>
              <c:numRef>
                <c:f>'seg-mgmt-1'!$H$4:$M$4</c:f>
                <c:numCache>
                  <c:formatCode>General</c:formatCode>
                  <c:ptCount val="6"/>
                  <c:pt idx="0">
                    <c:v>36.5028125</c:v>
                  </c:pt>
                  <c:pt idx="1">
                    <c:v>1.9591505</c:v>
                  </c:pt>
                  <c:pt idx="2">
                    <c:v>0.421587</c:v>
                  </c:pt>
                  <c:pt idx="3">
                    <c:v>0.2536535</c:v>
                  </c:pt>
                  <c:pt idx="4">
                    <c:v>0.0699939999999999</c:v>
                  </c:pt>
                  <c:pt idx="5">
                    <c:v>0.1961325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'seg-mgmt-1'!$H$1:$M$1</c:f>
              <c:strCache>
                <c:ptCount val="6"/>
                <c:pt idx="0">
                  <c:v>Unprotected</c:v>
                </c:pt>
                <c:pt idx="1" c:formatCode="m&quot;月&quot;d&quot;日&quot;">
                  <c:v>Seg_9:1</c:v>
                </c:pt>
                <c:pt idx="2">
                  <c:v>Seg_8:2</c:v>
                </c:pt>
                <c:pt idx="3">
                  <c:v>Seg_7:3</c:v>
                </c:pt>
                <c:pt idx="4">
                  <c:v>Seg_6:4</c:v>
                </c:pt>
                <c:pt idx="5">
                  <c:v>Seg_5:5</c:v>
                </c:pt>
              </c:strCache>
            </c:strRef>
          </c:cat>
          <c:val>
            <c:numRef>
              <c:f>'seg-mgmt-1'!$H$2:$M$2</c:f>
              <c:numCache>
                <c:formatCode>General</c:formatCode>
                <c:ptCount val="6"/>
                <c:pt idx="0">
                  <c:v>76.2404445</c:v>
                </c:pt>
                <c:pt idx="1">
                  <c:v>5.3776265</c:v>
                </c:pt>
                <c:pt idx="2">
                  <c:v>3.293163</c:v>
                </c:pt>
                <c:pt idx="3">
                  <c:v>3.2150515</c:v>
                </c:pt>
                <c:pt idx="4">
                  <c:v>3.264225</c:v>
                </c:pt>
                <c:pt idx="5">
                  <c:v>3.2706605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599424"/>
        <c:axId val="999596512"/>
      </c:barChart>
      <c:catAx>
        <c:axId val="99959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999596512"/>
        <c:crosses val="autoZero"/>
        <c:auto val="1"/>
        <c:lblAlgn val="ctr"/>
        <c:lblOffset val="100"/>
        <c:noMultiLvlLbl val="0"/>
      </c:catAx>
      <c:valAx>
        <c:axId val="999596512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Task delay(s)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0183696922256907"/>
              <c:y val="0.38039041994750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9995994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201980316364"/>
          <c:y val="0.12109766766959"/>
          <c:w val="0.779517983569223"/>
          <c:h val="0.713758402150951"/>
        </c:manualLayout>
      </c:layout>
      <c:lineChart>
        <c:grouping val="standard"/>
        <c:varyColors val="0"/>
        <c:ser>
          <c:idx val="0"/>
          <c:order val="0"/>
          <c:tx>
            <c:strRef>
              <c:f>'seg-mgmt-2'!$A$1</c:f>
              <c:strCache>
                <c:ptCount val="1"/>
                <c:pt idx="0">
                  <c:v>Non_Prob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'seg-mgmt-2'!$A$2:$A$101</c:f>
              <c:numCache>
                <c:formatCode>General</c:formatCode>
                <c:ptCount val="100"/>
                <c:pt idx="0">
                  <c:v>18</c:v>
                </c:pt>
                <c:pt idx="1">
                  <c:v>12235</c:v>
                </c:pt>
                <c:pt idx="2">
                  <c:v>7432</c:v>
                </c:pt>
                <c:pt idx="3">
                  <c:v>9041</c:v>
                </c:pt>
                <c:pt idx="4">
                  <c:v>4153</c:v>
                </c:pt>
                <c:pt idx="5">
                  <c:v>11948</c:v>
                </c:pt>
                <c:pt idx="6">
                  <c:v>7482</c:v>
                </c:pt>
                <c:pt idx="7">
                  <c:v>8046</c:v>
                </c:pt>
                <c:pt idx="8">
                  <c:v>5876</c:v>
                </c:pt>
                <c:pt idx="9">
                  <c:v>9274</c:v>
                </c:pt>
                <c:pt idx="10">
                  <c:v>6398</c:v>
                </c:pt>
                <c:pt idx="11">
                  <c:v>8273</c:v>
                </c:pt>
                <c:pt idx="12">
                  <c:v>8110</c:v>
                </c:pt>
                <c:pt idx="13">
                  <c:v>7776</c:v>
                </c:pt>
                <c:pt idx="14">
                  <c:v>5960</c:v>
                </c:pt>
                <c:pt idx="15">
                  <c:v>11143</c:v>
                </c:pt>
                <c:pt idx="16">
                  <c:v>7280</c:v>
                </c:pt>
                <c:pt idx="17">
                  <c:v>7607</c:v>
                </c:pt>
                <c:pt idx="18">
                  <c:v>5781</c:v>
                </c:pt>
                <c:pt idx="19">
                  <c:v>10856</c:v>
                </c:pt>
                <c:pt idx="20">
                  <c:v>6993</c:v>
                </c:pt>
                <c:pt idx="21">
                  <c:v>7697</c:v>
                </c:pt>
                <c:pt idx="22">
                  <c:v>8381</c:v>
                </c:pt>
                <c:pt idx="23">
                  <c:v>8519</c:v>
                </c:pt>
                <c:pt idx="24">
                  <c:v>8242</c:v>
                </c:pt>
                <c:pt idx="25">
                  <c:v>8371</c:v>
                </c:pt>
                <c:pt idx="26">
                  <c:v>7014</c:v>
                </c:pt>
                <c:pt idx="27">
                  <c:v>7367</c:v>
                </c:pt>
                <c:pt idx="28">
                  <c:v>7027</c:v>
                </c:pt>
                <c:pt idx="29">
                  <c:v>8067</c:v>
                </c:pt>
                <c:pt idx="30">
                  <c:v>6891</c:v>
                </c:pt>
                <c:pt idx="31">
                  <c:v>7341</c:v>
                </c:pt>
                <c:pt idx="32">
                  <c:v>7548</c:v>
                </c:pt>
                <c:pt idx="33">
                  <c:v>8487</c:v>
                </c:pt>
                <c:pt idx="34">
                  <c:v>7233</c:v>
                </c:pt>
                <c:pt idx="35">
                  <c:v>7966</c:v>
                </c:pt>
                <c:pt idx="36">
                  <c:v>7835</c:v>
                </c:pt>
                <c:pt idx="37">
                  <c:v>8380</c:v>
                </c:pt>
                <c:pt idx="38">
                  <c:v>8519</c:v>
                </c:pt>
                <c:pt idx="39">
                  <c:v>7181</c:v>
                </c:pt>
                <c:pt idx="40">
                  <c:v>5921</c:v>
                </c:pt>
                <c:pt idx="41">
                  <c:v>7395</c:v>
                </c:pt>
                <c:pt idx="42">
                  <c:v>9250</c:v>
                </c:pt>
                <c:pt idx="43">
                  <c:v>5498</c:v>
                </c:pt>
                <c:pt idx="44">
                  <c:v>6101</c:v>
                </c:pt>
                <c:pt idx="45">
                  <c:v>8185</c:v>
                </c:pt>
                <c:pt idx="46">
                  <c:v>5065</c:v>
                </c:pt>
                <c:pt idx="47">
                  <c:v>7044</c:v>
                </c:pt>
                <c:pt idx="48">
                  <c:v>6115</c:v>
                </c:pt>
                <c:pt idx="49">
                  <c:v>5060</c:v>
                </c:pt>
                <c:pt idx="50">
                  <c:v>5854</c:v>
                </c:pt>
                <c:pt idx="51">
                  <c:v>6333</c:v>
                </c:pt>
                <c:pt idx="52">
                  <c:v>5245</c:v>
                </c:pt>
                <c:pt idx="53">
                  <c:v>3983</c:v>
                </c:pt>
                <c:pt idx="54">
                  <c:v>5674</c:v>
                </c:pt>
                <c:pt idx="55">
                  <c:v>6046</c:v>
                </c:pt>
                <c:pt idx="56">
                  <c:v>4894</c:v>
                </c:pt>
                <c:pt idx="57">
                  <c:v>4557</c:v>
                </c:pt>
                <c:pt idx="58">
                  <c:v>7532</c:v>
                </c:pt>
                <c:pt idx="59">
                  <c:v>4097</c:v>
                </c:pt>
                <c:pt idx="60">
                  <c:v>9719</c:v>
                </c:pt>
                <c:pt idx="61">
                  <c:v>7092</c:v>
                </c:pt>
                <c:pt idx="62">
                  <c:v>6442</c:v>
                </c:pt>
                <c:pt idx="63">
                  <c:v>8187</c:v>
                </c:pt>
                <c:pt idx="64">
                  <c:v>9735</c:v>
                </c:pt>
                <c:pt idx="65">
                  <c:v>12656</c:v>
                </c:pt>
                <c:pt idx="66">
                  <c:v>5878</c:v>
                </c:pt>
                <c:pt idx="67">
                  <c:v>9345</c:v>
                </c:pt>
                <c:pt idx="68">
                  <c:v>12742</c:v>
                </c:pt>
                <c:pt idx="69">
                  <c:v>8708</c:v>
                </c:pt>
                <c:pt idx="70">
                  <c:v>9644</c:v>
                </c:pt>
                <c:pt idx="71">
                  <c:v>14771</c:v>
                </c:pt>
                <c:pt idx="72">
                  <c:v>11041</c:v>
                </c:pt>
                <c:pt idx="73">
                  <c:v>8545</c:v>
                </c:pt>
                <c:pt idx="74">
                  <c:v>11407</c:v>
                </c:pt>
                <c:pt idx="75">
                  <c:v>13336</c:v>
                </c:pt>
                <c:pt idx="76">
                  <c:v>7631</c:v>
                </c:pt>
                <c:pt idx="77">
                  <c:v>7047</c:v>
                </c:pt>
                <c:pt idx="78">
                  <c:v>10000</c:v>
                </c:pt>
                <c:pt idx="79">
                  <c:v>11238</c:v>
                </c:pt>
                <c:pt idx="80">
                  <c:v>16386</c:v>
                </c:pt>
                <c:pt idx="81">
                  <c:v>12430</c:v>
                </c:pt>
                <c:pt idx="82">
                  <c:v>9555</c:v>
                </c:pt>
                <c:pt idx="83">
                  <c:v>13157</c:v>
                </c:pt>
                <c:pt idx="84">
                  <c:v>11352</c:v>
                </c:pt>
                <c:pt idx="85">
                  <c:v>14632</c:v>
                </c:pt>
                <c:pt idx="86">
                  <c:v>17873</c:v>
                </c:pt>
                <c:pt idx="87">
                  <c:v>6472</c:v>
                </c:pt>
                <c:pt idx="88">
                  <c:v>10688</c:v>
                </c:pt>
                <c:pt idx="89">
                  <c:v>14896</c:v>
                </c:pt>
                <c:pt idx="90">
                  <c:v>9412</c:v>
                </c:pt>
                <c:pt idx="91">
                  <c:v>15105</c:v>
                </c:pt>
                <c:pt idx="92">
                  <c:v>17796</c:v>
                </c:pt>
                <c:pt idx="93">
                  <c:v>11532</c:v>
                </c:pt>
                <c:pt idx="94">
                  <c:v>6021</c:v>
                </c:pt>
                <c:pt idx="95">
                  <c:v>10762</c:v>
                </c:pt>
                <c:pt idx="96">
                  <c:v>11574</c:v>
                </c:pt>
                <c:pt idx="97">
                  <c:v>12214</c:v>
                </c:pt>
                <c:pt idx="98">
                  <c:v>13242</c:v>
                </c:pt>
                <c:pt idx="99">
                  <c:v>12968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'seg-mgmt-2'!$B$1</c:f>
              <c:strCache>
                <c:ptCount val="1"/>
                <c:pt idx="0">
                  <c:v>Prob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'seg-mgmt-2'!$B$2:$B$101</c:f>
              <c:numCache>
                <c:formatCode>General</c:formatCode>
                <c:ptCount val="100"/>
                <c:pt idx="0">
                  <c:v>17</c:v>
                </c:pt>
                <c:pt idx="1">
                  <c:v>12324</c:v>
                </c:pt>
                <c:pt idx="2">
                  <c:v>8167</c:v>
                </c:pt>
                <c:pt idx="3">
                  <c:v>7334</c:v>
                </c:pt>
                <c:pt idx="4">
                  <c:v>8321</c:v>
                </c:pt>
                <c:pt idx="5">
                  <c:v>8396</c:v>
                </c:pt>
                <c:pt idx="6">
                  <c:v>7789</c:v>
                </c:pt>
                <c:pt idx="7">
                  <c:v>7075</c:v>
                </c:pt>
                <c:pt idx="8">
                  <c:v>10614</c:v>
                </c:pt>
                <c:pt idx="9">
                  <c:v>7678</c:v>
                </c:pt>
                <c:pt idx="10">
                  <c:v>7037</c:v>
                </c:pt>
                <c:pt idx="11">
                  <c:v>8637</c:v>
                </c:pt>
                <c:pt idx="12">
                  <c:v>8190</c:v>
                </c:pt>
                <c:pt idx="13">
                  <c:v>5771</c:v>
                </c:pt>
                <c:pt idx="14">
                  <c:v>7456</c:v>
                </c:pt>
                <c:pt idx="15">
                  <c:v>10946</c:v>
                </c:pt>
                <c:pt idx="16">
                  <c:v>8601</c:v>
                </c:pt>
                <c:pt idx="17">
                  <c:v>7155</c:v>
                </c:pt>
                <c:pt idx="18">
                  <c:v>7968</c:v>
                </c:pt>
                <c:pt idx="19">
                  <c:v>7956</c:v>
                </c:pt>
                <c:pt idx="20">
                  <c:v>6238</c:v>
                </c:pt>
                <c:pt idx="21">
                  <c:v>9058</c:v>
                </c:pt>
                <c:pt idx="22">
                  <c:v>8408</c:v>
                </c:pt>
                <c:pt idx="23">
                  <c:v>7740</c:v>
                </c:pt>
                <c:pt idx="24">
                  <c:v>7207</c:v>
                </c:pt>
                <c:pt idx="25">
                  <c:v>8630</c:v>
                </c:pt>
                <c:pt idx="26">
                  <c:v>5861</c:v>
                </c:pt>
                <c:pt idx="27">
                  <c:v>6917</c:v>
                </c:pt>
                <c:pt idx="28">
                  <c:v>8345</c:v>
                </c:pt>
                <c:pt idx="29">
                  <c:v>7786</c:v>
                </c:pt>
                <c:pt idx="30">
                  <c:v>5986</c:v>
                </c:pt>
                <c:pt idx="31">
                  <c:v>7913</c:v>
                </c:pt>
                <c:pt idx="32">
                  <c:v>8744</c:v>
                </c:pt>
                <c:pt idx="33">
                  <c:v>6937</c:v>
                </c:pt>
                <c:pt idx="34">
                  <c:v>8420</c:v>
                </c:pt>
                <c:pt idx="35">
                  <c:v>8308</c:v>
                </c:pt>
                <c:pt idx="36">
                  <c:v>9136</c:v>
                </c:pt>
                <c:pt idx="37">
                  <c:v>6482</c:v>
                </c:pt>
                <c:pt idx="38">
                  <c:v>9568</c:v>
                </c:pt>
                <c:pt idx="39">
                  <c:v>6230</c:v>
                </c:pt>
                <c:pt idx="40">
                  <c:v>8047</c:v>
                </c:pt>
                <c:pt idx="41">
                  <c:v>7617</c:v>
                </c:pt>
                <c:pt idx="42">
                  <c:v>7878</c:v>
                </c:pt>
                <c:pt idx="43">
                  <c:v>7935</c:v>
                </c:pt>
                <c:pt idx="44">
                  <c:v>6213</c:v>
                </c:pt>
                <c:pt idx="45">
                  <c:v>7568</c:v>
                </c:pt>
                <c:pt idx="46">
                  <c:v>5930</c:v>
                </c:pt>
                <c:pt idx="47">
                  <c:v>4818</c:v>
                </c:pt>
                <c:pt idx="48">
                  <c:v>7754</c:v>
                </c:pt>
                <c:pt idx="49">
                  <c:v>5241</c:v>
                </c:pt>
                <c:pt idx="50">
                  <c:v>5632</c:v>
                </c:pt>
                <c:pt idx="51">
                  <c:v>5682</c:v>
                </c:pt>
                <c:pt idx="52">
                  <c:v>4199</c:v>
                </c:pt>
                <c:pt idx="53">
                  <c:v>3120</c:v>
                </c:pt>
                <c:pt idx="54">
                  <c:v>4933</c:v>
                </c:pt>
                <c:pt idx="55">
                  <c:v>3134</c:v>
                </c:pt>
                <c:pt idx="56">
                  <c:v>1180</c:v>
                </c:pt>
                <c:pt idx="57">
                  <c:v>3638</c:v>
                </c:pt>
                <c:pt idx="58">
                  <c:v>4071</c:v>
                </c:pt>
                <c:pt idx="59">
                  <c:v>3483</c:v>
                </c:pt>
                <c:pt idx="60">
                  <c:v>4480</c:v>
                </c:pt>
                <c:pt idx="61">
                  <c:v>5249</c:v>
                </c:pt>
                <c:pt idx="62">
                  <c:v>5880</c:v>
                </c:pt>
                <c:pt idx="63">
                  <c:v>6322</c:v>
                </c:pt>
                <c:pt idx="64">
                  <c:v>6297</c:v>
                </c:pt>
                <c:pt idx="65">
                  <c:v>4964</c:v>
                </c:pt>
                <c:pt idx="66">
                  <c:v>6589</c:v>
                </c:pt>
                <c:pt idx="67">
                  <c:v>7313</c:v>
                </c:pt>
                <c:pt idx="68">
                  <c:v>5134</c:v>
                </c:pt>
                <c:pt idx="69">
                  <c:v>7202</c:v>
                </c:pt>
                <c:pt idx="70">
                  <c:v>6620</c:v>
                </c:pt>
                <c:pt idx="71">
                  <c:v>5575</c:v>
                </c:pt>
                <c:pt idx="72">
                  <c:v>5644</c:v>
                </c:pt>
                <c:pt idx="73">
                  <c:v>6782</c:v>
                </c:pt>
                <c:pt idx="74">
                  <c:v>6572</c:v>
                </c:pt>
                <c:pt idx="75">
                  <c:v>6107</c:v>
                </c:pt>
                <c:pt idx="76">
                  <c:v>7892</c:v>
                </c:pt>
                <c:pt idx="77">
                  <c:v>6502</c:v>
                </c:pt>
                <c:pt idx="78">
                  <c:v>5984</c:v>
                </c:pt>
                <c:pt idx="79">
                  <c:v>7352</c:v>
                </c:pt>
                <c:pt idx="80">
                  <c:v>6658</c:v>
                </c:pt>
                <c:pt idx="81">
                  <c:v>6604</c:v>
                </c:pt>
                <c:pt idx="82">
                  <c:v>6231</c:v>
                </c:pt>
                <c:pt idx="83">
                  <c:v>7910</c:v>
                </c:pt>
                <c:pt idx="84">
                  <c:v>5589</c:v>
                </c:pt>
                <c:pt idx="85">
                  <c:v>6100</c:v>
                </c:pt>
                <c:pt idx="86">
                  <c:v>6699</c:v>
                </c:pt>
                <c:pt idx="87">
                  <c:v>6901</c:v>
                </c:pt>
                <c:pt idx="88">
                  <c:v>5936</c:v>
                </c:pt>
                <c:pt idx="89">
                  <c:v>6168</c:v>
                </c:pt>
                <c:pt idx="90">
                  <c:v>5487</c:v>
                </c:pt>
                <c:pt idx="91">
                  <c:v>5207</c:v>
                </c:pt>
                <c:pt idx="92">
                  <c:v>6174</c:v>
                </c:pt>
                <c:pt idx="93">
                  <c:v>5835</c:v>
                </c:pt>
                <c:pt idx="94">
                  <c:v>5307</c:v>
                </c:pt>
                <c:pt idx="95">
                  <c:v>5036</c:v>
                </c:pt>
                <c:pt idx="96">
                  <c:v>6120</c:v>
                </c:pt>
                <c:pt idx="97">
                  <c:v>4772</c:v>
                </c:pt>
                <c:pt idx="98">
                  <c:v>5029</c:v>
                </c:pt>
                <c:pt idx="99">
                  <c:v>5542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080543"/>
        <c:axId val="51082623"/>
      </c:lineChart>
      <c:catAx>
        <c:axId val="5108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Timespan(s)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436796441195024"/>
              <c:y val="0.9134617928856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1082623"/>
        <c:crosses val="autoZero"/>
        <c:auto val="1"/>
        <c:lblAlgn val="ctr"/>
        <c:lblOffset val="100"/>
        <c:tickLblSkip val="9"/>
        <c:noMultiLvlLbl val="0"/>
      </c:catAx>
      <c:valAx>
        <c:axId val="510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Throughput of control channel(pkt/s)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010825833992132"/>
              <c:y val="0.121097667669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108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'rule-replace-gen-1s'!$H$1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'rule-replace-gen-1s'!$H$2:$H$27</c:f>
              <c:numCache>
                <c:formatCode>General</c:formatCode>
                <c:ptCount val="26"/>
                <c:pt idx="0">
                  <c:v>0.404</c:v>
                </c:pt>
                <c:pt idx="1">
                  <c:v>0.398076923076923</c:v>
                </c:pt>
                <c:pt idx="2">
                  <c:v>0.411111111111111</c:v>
                </c:pt>
                <c:pt idx="3">
                  <c:v>0.432142857142857</c:v>
                </c:pt>
                <c:pt idx="4">
                  <c:v>0.451724137931034</c:v>
                </c:pt>
                <c:pt idx="5">
                  <c:v>0.47</c:v>
                </c:pt>
                <c:pt idx="6">
                  <c:v>0.470967741935484</c:v>
                </c:pt>
                <c:pt idx="7">
                  <c:v>0.45625</c:v>
                </c:pt>
                <c:pt idx="8">
                  <c:v>0.442424242424242</c:v>
                </c:pt>
                <c:pt idx="9">
                  <c:v>0.435294117647059</c:v>
                </c:pt>
                <c:pt idx="10">
                  <c:v>0.422857142857143</c:v>
                </c:pt>
                <c:pt idx="11">
                  <c:v>0.416666666666667</c:v>
                </c:pt>
                <c:pt idx="12">
                  <c:v>0.425675675675676</c:v>
                </c:pt>
                <c:pt idx="13">
                  <c:v>0.440789473684211</c:v>
                </c:pt>
                <c:pt idx="14">
                  <c:v>0.455128205128205</c:v>
                </c:pt>
                <c:pt idx="15">
                  <c:v>0.46625</c:v>
                </c:pt>
                <c:pt idx="16">
                  <c:v>0.467073170731707</c:v>
                </c:pt>
                <c:pt idx="17">
                  <c:v>0.45952380952381</c:v>
                </c:pt>
                <c:pt idx="18">
                  <c:v>0.448837209302326</c:v>
                </c:pt>
                <c:pt idx="19">
                  <c:v>0.448863636363636</c:v>
                </c:pt>
                <c:pt idx="20">
                  <c:v>0.44</c:v>
                </c:pt>
                <c:pt idx="21">
                  <c:v>0.433695652173913</c:v>
                </c:pt>
                <c:pt idx="22">
                  <c:v>0.440425531914894</c:v>
                </c:pt>
                <c:pt idx="23">
                  <c:v>0.452083333333333</c:v>
                </c:pt>
                <c:pt idx="24">
                  <c:v>0.456122448979592</c:v>
                </c:pt>
                <c:pt idx="25">
                  <c:v>0.465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'rule-replace-gen-1s'!$I$1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'rule-replace-gen-1s'!$I$2:$I$27</c:f>
              <c:numCache>
                <c:formatCode>General</c:formatCode>
                <c:ptCount val="26"/>
                <c:pt idx="0">
                  <c:v>0.48</c:v>
                </c:pt>
                <c:pt idx="1">
                  <c:v>0.480769230769231</c:v>
                </c:pt>
                <c:pt idx="2">
                  <c:v>0.47962962962963</c:v>
                </c:pt>
                <c:pt idx="3">
                  <c:v>0.483928571428571</c:v>
                </c:pt>
                <c:pt idx="4">
                  <c:v>0.475862068965517</c:v>
                </c:pt>
                <c:pt idx="5">
                  <c:v>0.471666666666667</c:v>
                </c:pt>
                <c:pt idx="6">
                  <c:v>0.470967741935484</c:v>
                </c:pt>
                <c:pt idx="7">
                  <c:v>0.471875</c:v>
                </c:pt>
                <c:pt idx="8">
                  <c:v>0.471212121212121</c:v>
                </c:pt>
                <c:pt idx="9">
                  <c:v>0.472058823529412</c:v>
                </c:pt>
                <c:pt idx="10">
                  <c:v>0.474285714285714</c:v>
                </c:pt>
                <c:pt idx="11">
                  <c:v>0.479166666666667</c:v>
                </c:pt>
                <c:pt idx="12">
                  <c:v>0.477027027027027</c:v>
                </c:pt>
                <c:pt idx="13">
                  <c:v>0.476315789473684</c:v>
                </c:pt>
                <c:pt idx="14">
                  <c:v>0.473076923076923</c:v>
                </c:pt>
                <c:pt idx="15">
                  <c:v>0.4725</c:v>
                </c:pt>
                <c:pt idx="16">
                  <c:v>0.476829268292683</c:v>
                </c:pt>
                <c:pt idx="17">
                  <c:v>0.475</c:v>
                </c:pt>
                <c:pt idx="18">
                  <c:v>0.474418604651163</c:v>
                </c:pt>
                <c:pt idx="19">
                  <c:v>0.475</c:v>
                </c:pt>
                <c:pt idx="20">
                  <c:v>0.477777777777778</c:v>
                </c:pt>
                <c:pt idx="21">
                  <c:v>0.476086956521739</c:v>
                </c:pt>
                <c:pt idx="22">
                  <c:v>0.476595744680851</c:v>
                </c:pt>
                <c:pt idx="23">
                  <c:v>0.475</c:v>
                </c:pt>
                <c:pt idx="24">
                  <c:v>0.472448979591837</c:v>
                </c:pt>
                <c:pt idx="25">
                  <c:v>0.472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'rule-replace-gen-1s'!$J$1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'rule-replace-gen-1s'!$J$2:$J$27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'rule-replace-gen-1s'!$K$1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'rule-replace-gen-1s'!$K$2:$K$27</c:f>
              <c:numCache>
                <c:formatCode>General</c:formatCode>
                <c:ptCount val="26"/>
                <c:pt idx="0">
                  <c:v>0.776</c:v>
                </c:pt>
                <c:pt idx="1">
                  <c:v>0.775</c:v>
                </c:pt>
                <c:pt idx="2">
                  <c:v>0.775925925925926</c:v>
                </c:pt>
                <c:pt idx="3">
                  <c:v>0.776785714285714</c:v>
                </c:pt>
                <c:pt idx="4">
                  <c:v>0.775862068965517</c:v>
                </c:pt>
                <c:pt idx="5">
                  <c:v>0.775</c:v>
                </c:pt>
                <c:pt idx="6">
                  <c:v>0.774193548387097</c:v>
                </c:pt>
                <c:pt idx="7">
                  <c:v>0.7734375</c:v>
                </c:pt>
                <c:pt idx="8">
                  <c:v>0.775757575757576</c:v>
                </c:pt>
                <c:pt idx="9">
                  <c:v>0.775</c:v>
                </c:pt>
                <c:pt idx="10">
                  <c:v>0.774285714285714</c:v>
                </c:pt>
                <c:pt idx="11">
                  <c:v>0.772222222222222</c:v>
                </c:pt>
                <c:pt idx="12">
                  <c:v>0.771621621621622</c:v>
                </c:pt>
                <c:pt idx="13">
                  <c:v>0.771052631578947</c:v>
                </c:pt>
                <c:pt idx="14">
                  <c:v>0.771794871794872</c:v>
                </c:pt>
                <c:pt idx="15">
                  <c:v>0.77125</c:v>
                </c:pt>
                <c:pt idx="16">
                  <c:v>0.769512195121951</c:v>
                </c:pt>
                <c:pt idx="17">
                  <c:v>0.769047619047619</c:v>
                </c:pt>
                <c:pt idx="18">
                  <c:v>0.769767441860465</c:v>
                </c:pt>
                <c:pt idx="19">
                  <c:v>0.769318181818182</c:v>
                </c:pt>
                <c:pt idx="20">
                  <c:v>0.768888888888889</c:v>
                </c:pt>
                <c:pt idx="21">
                  <c:v>0.773913043478261</c:v>
                </c:pt>
                <c:pt idx="22">
                  <c:v>0.773404255319149</c:v>
                </c:pt>
                <c:pt idx="23">
                  <c:v>0.770833333333333</c:v>
                </c:pt>
                <c:pt idx="24">
                  <c:v>0.771428571428571</c:v>
                </c:pt>
                <c:pt idx="25">
                  <c:v>0.775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132064"/>
        <c:axId val="646145376"/>
      </c:lineChart>
      <c:catAx>
        <c:axId val="64613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646145376"/>
        <c:crosses val="autoZero"/>
        <c:auto val="1"/>
        <c:lblAlgn val="ctr"/>
        <c:lblOffset val="100"/>
        <c:tickLblSkip val="3"/>
        <c:noMultiLvlLbl val="0"/>
      </c:catAx>
      <c:valAx>
        <c:axId val="646145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64613206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'rule-replace-gen-0.1s'!$H$1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'rule-replace-gen-0.1s'!$H$2:$H$27</c:f>
              <c:numCache>
                <c:formatCode>General</c:formatCode>
                <c:ptCount val="26"/>
                <c:pt idx="0">
                  <c:v>0.404</c:v>
                </c:pt>
                <c:pt idx="1">
                  <c:v>0.409615384615385</c:v>
                </c:pt>
                <c:pt idx="2">
                  <c:v>0.411111111111111</c:v>
                </c:pt>
                <c:pt idx="3">
                  <c:v>0.416071428571429</c:v>
                </c:pt>
                <c:pt idx="4">
                  <c:v>0.436206896551724</c:v>
                </c:pt>
                <c:pt idx="5">
                  <c:v>0.455</c:v>
                </c:pt>
                <c:pt idx="6">
                  <c:v>0.459677419354839</c:v>
                </c:pt>
                <c:pt idx="7">
                  <c:v>0.4578125</c:v>
                </c:pt>
                <c:pt idx="8">
                  <c:v>0.451515151515152</c:v>
                </c:pt>
                <c:pt idx="9">
                  <c:v>0.444117647058824</c:v>
                </c:pt>
                <c:pt idx="10">
                  <c:v>0.432857142857143</c:v>
                </c:pt>
                <c:pt idx="11">
                  <c:v>0.436111111111111</c:v>
                </c:pt>
                <c:pt idx="12">
                  <c:v>0.436486486486486</c:v>
                </c:pt>
                <c:pt idx="13">
                  <c:v>0.430263157894737</c:v>
                </c:pt>
                <c:pt idx="14">
                  <c:v>0.441025641025641</c:v>
                </c:pt>
                <c:pt idx="15">
                  <c:v>0.455</c:v>
                </c:pt>
                <c:pt idx="16">
                  <c:v>0.458536585365854</c:v>
                </c:pt>
                <c:pt idx="17">
                  <c:v>0.461904761904762</c:v>
                </c:pt>
                <c:pt idx="18">
                  <c:v>0.459302325581395</c:v>
                </c:pt>
                <c:pt idx="19">
                  <c:v>0.455681818181818</c:v>
                </c:pt>
                <c:pt idx="20">
                  <c:v>0.448888888888889</c:v>
                </c:pt>
                <c:pt idx="21">
                  <c:v>0.451086956521739</c:v>
                </c:pt>
                <c:pt idx="22">
                  <c:v>0.448936170212766</c:v>
                </c:pt>
                <c:pt idx="23">
                  <c:v>0.445833333333333</c:v>
                </c:pt>
                <c:pt idx="24">
                  <c:v>0.443877551020408</c:v>
                </c:pt>
                <c:pt idx="25">
                  <c:v>0.455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'rule-replace-gen-0.1s'!$I$1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'rule-replace-gen-0.1s'!$I$2:$I$27</c:f>
              <c:numCache>
                <c:formatCode>General</c:formatCode>
                <c:ptCount val="26"/>
                <c:pt idx="0">
                  <c:v>0.518</c:v>
                </c:pt>
                <c:pt idx="1">
                  <c:v>0.526923076923077</c:v>
                </c:pt>
                <c:pt idx="2">
                  <c:v>0.52962962962963</c:v>
                </c:pt>
                <c:pt idx="3">
                  <c:v>0.528571428571429</c:v>
                </c:pt>
                <c:pt idx="4">
                  <c:v>0.522413793103448</c:v>
                </c:pt>
                <c:pt idx="5">
                  <c:v>0.525</c:v>
                </c:pt>
                <c:pt idx="6">
                  <c:v>0.530645161290323</c:v>
                </c:pt>
                <c:pt idx="7">
                  <c:v>0.5296875</c:v>
                </c:pt>
                <c:pt idx="8">
                  <c:v>0.521212121212121</c:v>
                </c:pt>
                <c:pt idx="9">
                  <c:v>0.520588235294118</c:v>
                </c:pt>
                <c:pt idx="10">
                  <c:v>0.521428571428571</c:v>
                </c:pt>
                <c:pt idx="11">
                  <c:v>0.523611111111111</c:v>
                </c:pt>
                <c:pt idx="12">
                  <c:v>0.525675675675676</c:v>
                </c:pt>
                <c:pt idx="13">
                  <c:v>0.528947368421053</c:v>
                </c:pt>
                <c:pt idx="14">
                  <c:v>0.528205128205128</c:v>
                </c:pt>
                <c:pt idx="15">
                  <c:v>0.5325</c:v>
                </c:pt>
                <c:pt idx="16">
                  <c:v>0.528048780487805</c:v>
                </c:pt>
                <c:pt idx="17">
                  <c:v>0.527380952380952</c:v>
                </c:pt>
                <c:pt idx="18">
                  <c:v>0.524418604651163</c:v>
                </c:pt>
                <c:pt idx="19">
                  <c:v>0.523863636363636</c:v>
                </c:pt>
                <c:pt idx="20">
                  <c:v>0.524444444444444</c:v>
                </c:pt>
                <c:pt idx="21">
                  <c:v>0.527173913043478</c:v>
                </c:pt>
                <c:pt idx="22">
                  <c:v>0.525531914893617</c:v>
                </c:pt>
                <c:pt idx="23">
                  <c:v>0.528125</c:v>
                </c:pt>
                <c:pt idx="24">
                  <c:v>0.531632653061225</c:v>
                </c:pt>
                <c:pt idx="25">
                  <c:v>0.531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'rule-replace-gen-0.1s'!$J$1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'rule-replace-gen-0.1s'!$K$1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'rule-replace-gen-0.1s'!$K$2:$K$27</c:f>
              <c:numCache>
                <c:formatCode>General</c:formatCode>
                <c:ptCount val="26"/>
                <c:pt idx="0">
                  <c:v>0.864</c:v>
                </c:pt>
                <c:pt idx="1">
                  <c:v>0.869230769230769</c:v>
                </c:pt>
                <c:pt idx="2">
                  <c:v>0.868518518518518</c:v>
                </c:pt>
                <c:pt idx="3">
                  <c:v>0.866071428571429</c:v>
                </c:pt>
                <c:pt idx="4">
                  <c:v>0.867241379310345</c:v>
                </c:pt>
                <c:pt idx="5">
                  <c:v>0.868333333333333</c:v>
                </c:pt>
                <c:pt idx="6">
                  <c:v>0.867741935483871</c:v>
                </c:pt>
                <c:pt idx="7">
                  <c:v>0.8671875</c:v>
                </c:pt>
                <c:pt idx="8">
                  <c:v>0.866666666666667</c:v>
                </c:pt>
                <c:pt idx="9">
                  <c:v>0.867647058823529</c:v>
                </c:pt>
                <c:pt idx="10">
                  <c:v>0.867142857142857</c:v>
                </c:pt>
                <c:pt idx="11">
                  <c:v>0.866666666666667</c:v>
                </c:pt>
                <c:pt idx="12">
                  <c:v>0.864864864864865</c:v>
                </c:pt>
                <c:pt idx="13">
                  <c:v>0.864473684210526</c:v>
                </c:pt>
                <c:pt idx="14">
                  <c:v>0.866666666666667</c:v>
                </c:pt>
                <c:pt idx="15">
                  <c:v>0.86625</c:v>
                </c:pt>
                <c:pt idx="16">
                  <c:v>0.865853658536585</c:v>
                </c:pt>
                <c:pt idx="17">
                  <c:v>0.865476190476191</c:v>
                </c:pt>
                <c:pt idx="18">
                  <c:v>0.865116279069767</c:v>
                </c:pt>
                <c:pt idx="19">
                  <c:v>0.867045454545455</c:v>
                </c:pt>
                <c:pt idx="20">
                  <c:v>0.866666666666667</c:v>
                </c:pt>
                <c:pt idx="21">
                  <c:v>0.866304347826087</c:v>
                </c:pt>
                <c:pt idx="22">
                  <c:v>0.865957446808511</c:v>
                </c:pt>
                <c:pt idx="23">
                  <c:v>0.865625</c:v>
                </c:pt>
                <c:pt idx="24">
                  <c:v>0.86734693877551</c:v>
                </c:pt>
                <c:pt idx="25">
                  <c:v>0.867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7599"/>
        <c:axId val="16060927"/>
      </c:lineChart>
      <c:catAx>
        <c:axId val="1605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6060927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60609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605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'rule-replace-gen-0.01s'!$H$1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'rule-replace-gen-0.01s'!$H$2:$H$27</c:f>
              <c:numCache>
                <c:formatCode>General</c:formatCode>
                <c:ptCount val="26"/>
                <c:pt idx="0">
                  <c:v>0.404</c:v>
                </c:pt>
                <c:pt idx="1">
                  <c:v>0.426923076923077</c:v>
                </c:pt>
                <c:pt idx="2">
                  <c:v>0.438888888888889</c:v>
                </c:pt>
                <c:pt idx="3">
                  <c:v>0.446428571428571</c:v>
                </c:pt>
                <c:pt idx="4">
                  <c:v>0.462068965517241</c:v>
                </c:pt>
                <c:pt idx="5">
                  <c:v>0.48</c:v>
                </c:pt>
                <c:pt idx="6">
                  <c:v>0.474193548387097</c:v>
                </c:pt>
                <c:pt idx="7">
                  <c:v>0.4640625</c:v>
                </c:pt>
                <c:pt idx="8">
                  <c:v>0.459090909090909</c:v>
                </c:pt>
                <c:pt idx="9">
                  <c:v>0.445588235294118</c:v>
                </c:pt>
                <c:pt idx="10">
                  <c:v>0.434285714285714</c:v>
                </c:pt>
                <c:pt idx="11">
                  <c:v>0.447222222222222</c:v>
                </c:pt>
                <c:pt idx="12">
                  <c:v>0.454054054054054</c:v>
                </c:pt>
                <c:pt idx="13">
                  <c:v>0.460526315789474</c:v>
                </c:pt>
                <c:pt idx="14">
                  <c:v>0.469230769230769</c:v>
                </c:pt>
                <c:pt idx="15">
                  <c:v>0.47875</c:v>
                </c:pt>
                <c:pt idx="16">
                  <c:v>0.475609756097561</c:v>
                </c:pt>
                <c:pt idx="17">
                  <c:v>0.470238095238095</c:v>
                </c:pt>
                <c:pt idx="18">
                  <c:v>0.467441860465116</c:v>
                </c:pt>
                <c:pt idx="19">
                  <c:v>0.459090909090909</c:v>
                </c:pt>
                <c:pt idx="20">
                  <c:v>0.45</c:v>
                </c:pt>
                <c:pt idx="21">
                  <c:v>0.454347826086957</c:v>
                </c:pt>
                <c:pt idx="22">
                  <c:v>0.462765957446808</c:v>
                </c:pt>
                <c:pt idx="23">
                  <c:v>0.469791666666667</c:v>
                </c:pt>
                <c:pt idx="24">
                  <c:v>0.473469387755102</c:v>
                </c:pt>
                <c:pt idx="25">
                  <c:v>0.478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'rule-replace-gen-0.01s'!$I$1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'rule-replace-gen-0.01s'!$I$2:$I$27</c:f>
              <c:numCache>
                <c:formatCode>General</c:formatCode>
                <c:ptCount val="26"/>
                <c:pt idx="0">
                  <c:v>0.516</c:v>
                </c:pt>
                <c:pt idx="1">
                  <c:v>0.513461538461538</c:v>
                </c:pt>
                <c:pt idx="2">
                  <c:v>0.512962962962963</c:v>
                </c:pt>
                <c:pt idx="3">
                  <c:v>0.507142857142857</c:v>
                </c:pt>
                <c:pt idx="4">
                  <c:v>0.508620689655172</c:v>
                </c:pt>
                <c:pt idx="5">
                  <c:v>0.501666666666667</c:v>
                </c:pt>
                <c:pt idx="6">
                  <c:v>0.508064516129032</c:v>
                </c:pt>
                <c:pt idx="7">
                  <c:v>0.503125</c:v>
                </c:pt>
                <c:pt idx="8">
                  <c:v>0.503030303030303</c:v>
                </c:pt>
                <c:pt idx="9">
                  <c:v>0.502941176470588</c:v>
                </c:pt>
                <c:pt idx="10">
                  <c:v>0.498571428571429</c:v>
                </c:pt>
                <c:pt idx="11">
                  <c:v>0.501388888888889</c:v>
                </c:pt>
                <c:pt idx="12">
                  <c:v>0.502702702702703</c:v>
                </c:pt>
                <c:pt idx="13">
                  <c:v>0.496052631578947</c:v>
                </c:pt>
                <c:pt idx="14">
                  <c:v>0.496153846153846</c:v>
                </c:pt>
                <c:pt idx="15">
                  <c:v>0.4975</c:v>
                </c:pt>
                <c:pt idx="16">
                  <c:v>0.496341463414634</c:v>
                </c:pt>
                <c:pt idx="17">
                  <c:v>0.498809523809524</c:v>
                </c:pt>
                <c:pt idx="18">
                  <c:v>0.497674418604651</c:v>
                </c:pt>
                <c:pt idx="19">
                  <c:v>0.495454545454545</c:v>
                </c:pt>
                <c:pt idx="20">
                  <c:v>0.492222222222222</c:v>
                </c:pt>
                <c:pt idx="21">
                  <c:v>0.493478260869565</c:v>
                </c:pt>
                <c:pt idx="22">
                  <c:v>0.492553191489362</c:v>
                </c:pt>
                <c:pt idx="23">
                  <c:v>0.491666666666667</c:v>
                </c:pt>
                <c:pt idx="24">
                  <c:v>0.490816326530612</c:v>
                </c:pt>
                <c:pt idx="25">
                  <c:v>0.487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'rule-replace-gen-0.01s'!$J$1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'rule-replace-gen-0.01s'!$K$1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'rule-replace-gen-0.01s'!$K$2:$K$27</c:f>
              <c:numCache>
                <c:formatCode>General</c:formatCode>
                <c:ptCount val="26"/>
                <c:pt idx="0">
                  <c:v>0.736</c:v>
                </c:pt>
                <c:pt idx="1">
                  <c:v>0.732692307692308</c:v>
                </c:pt>
                <c:pt idx="2">
                  <c:v>0.731481481481482</c:v>
                </c:pt>
                <c:pt idx="3">
                  <c:v>0.739285714285714</c:v>
                </c:pt>
                <c:pt idx="4">
                  <c:v>0.737931034482759</c:v>
                </c:pt>
                <c:pt idx="5">
                  <c:v>0.736666666666667</c:v>
                </c:pt>
                <c:pt idx="6">
                  <c:v>0.743548387096774</c:v>
                </c:pt>
                <c:pt idx="7">
                  <c:v>0.7421875</c:v>
                </c:pt>
                <c:pt idx="8">
                  <c:v>0.736363636363636</c:v>
                </c:pt>
                <c:pt idx="9">
                  <c:v>0.735294117647059</c:v>
                </c:pt>
                <c:pt idx="10">
                  <c:v>0.734285714285714</c:v>
                </c:pt>
                <c:pt idx="11">
                  <c:v>0.738888888888889</c:v>
                </c:pt>
                <c:pt idx="12">
                  <c:v>0.737837837837838</c:v>
                </c:pt>
                <c:pt idx="13">
                  <c:v>0.732894736842105</c:v>
                </c:pt>
                <c:pt idx="14">
                  <c:v>0.73974358974359</c:v>
                </c:pt>
                <c:pt idx="15">
                  <c:v>0.73875</c:v>
                </c:pt>
                <c:pt idx="16">
                  <c:v>0.736585365853659</c:v>
                </c:pt>
                <c:pt idx="17">
                  <c:v>0.735714285714286</c:v>
                </c:pt>
                <c:pt idx="18">
                  <c:v>0.737209302325581</c:v>
                </c:pt>
                <c:pt idx="19">
                  <c:v>0.736363636363636</c:v>
                </c:pt>
                <c:pt idx="20">
                  <c:v>0.735555555555556</c:v>
                </c:pt>
                <c:pt idx="21">
                  <c:v>0.741304347826087</c:v>
                </c:pt>
                <c:pt idx="22">
                  <c:v>0.740425531914894</c:v>
                </c:pt>
                <c:pt idx="23">
                  <c:v>0.739583333333333</c:v>
                </c:pt>
                <c:pt idx="24">
                  <c:v>0.744897959183674</c:v>
                </c:pt>
                <c:pt idx="25">
                  <c:v>0.744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63279"/>
        <c:axId val="131376591"/>
      </c:lineChart>
      <c:catAx>
        <c:axId val="13136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31376591"/>
        <c:crosses val="autoZero"/>
        <c:auto val="1"/>
        <c:lblAlgn val="ctr"/>
        <c:lblOffset val="100"/>
        <c:tickLblSkip val="3"/>
        <c:noMultiLvlLbl val="0"/>
      </c:catAx>
      <c:valAx>
        <c:axId val="1313765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3136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'rule-replace-gen-0.1+1s'!$H$1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'rule-replace-gen-0.1+1s'!$H$2:$H$27</c:f>
              <c:numCache>
                <c:formatCode>General</c:formatCode>
                <c:ptCount val="26"/>
                <c:pt idx="0">
                  <c:v>0.436</c:v>
                </c:pt>
                <c:pt idx="1">
                  <c:v>0.434615384615385</c:v>
                </c:pt>
                <c:pt idx="2">
                  <c:v>0.455555555555556</c:v>
                </c:pt>
                <c:pt idx="3">
                  <c:v>0.464285714285714</c:v>
                </c:pt>
                <c:pt idx="4">
                  <c:v>0.482758620689655</c:v>
                </c:pt>
                <c:pt idx="5">
                  <c:v>0.5</c:v>
                </c:pt>
                <c:pt idx="6">
                  <c:v>0.5</c:v>
                </c:pt>
                <c:pt idx="7">
                  <c:v>0.484375</c:v>
                </c:pt>
                <c:pt idx="8">
                  <c:v>0.46969696969697</c:v>
                </c:pt>
                <c:pt idx="9">
                  <c:v>0.470588235294118</c:v>
                </c:pt>
                <c:pt idx="10">
                  <c:v>0.46</c:v>
                </c:pt>
                <c:pt idx="11">
                  <c:v>0.458333333333333</c:v>
                </c:pt>
                <c:pt idx="12">
                  <c:v>0.47027027027027</c:v>
                </c:pt>
                <c:pt idx="13">
                  <c:v>0.476315789473684</c:v>
                </c:pt>
                <c:pt idx="14">
                  <c:v>0.487179487179487</c:v>
                </c:pt>
                <c:pt idx="15">
                  <c:v>0.5</c:v>
                </c:pt>
                <c:pt idx="16">
                  <c:v>0.5</c:v>
                </c:pt>
                <c:pt idx="17">
                  <c:v>0.489285714285714</c:v>
                </c:pt>
                <c:pt idx="18">
                  <c:v>0.477906976744186</c:v>
                </c:pt>
                <c:pt idx="19">
                  <c:v>0.482954545454545</c:v>
                </c:pt>
                <c:pt idx="20">
                  <c:v>0.472222222222222</c:v>
                </c:pt>
                <c:pt idx="21">
                  <c:v>0.475</c:v>
                </c:pt>
                <c:pt idx="22">
                  <c:v>0.476595744680851</c:v>
                </c:pt>
                <c:pt idx="23">
                  <c:v>0.483333333333333</c:v>
                </c:pt>
                <c:pt idx="24">
                  <c:v>0.491836734693878</c:v>
                </c:pt>
                <c:pt idx="25">
                  <c:v>0.5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'rule-replace-gen-0.1+1s'!$I$1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'rule-replace-gen-0.1+1s'!$I$2:$I$27</c:f>
              <c:numCache>
                <c:formatCode>General</c:formatCode>
                <c:ptCount val="26"/>
                <c:pt idx="0">
                  <c:v>0.514</c:v>
                </c:pt>
                <c:pt idx="1">
                  <c:v>0.517307692307692</c:v>
                </c:pt>
                <c:pt idx="2">
                  <c:v>0.514814814814815</c:v>
                </c:pt>
                <c:pt idx="3">
                  <c:v>0.510714285714286</c:v>
                </c:pt>
                <c:pt idx="4">
                  <c:v>0.512068965517241</c:v>
                </c:pt>
                <c:pt idx="5">
                  <c:v>0.516666666666667</c:v>
                </c:pt>
                <c:pt idx="6">
                  <c:v>0.516129032258065</c:v>
                </c:pt>
                <c:pt idx="7">
                  <c:v>0.5140625</c:v>
                </c:pt>
                <c:pt idx="8">
                  <c:v>0.512121212121212</c:v>
                </c:pt>
                <c:pt idx="9">
                  <c:v>0.514705882352941</c:v>
                </c:pt>
                <c:pt idx="10">
                  <c:v>0.51</c:v>
                </c:pt>
                <c:pt idx="11">
                  <c:v>0.515277777777778</c:v>
                </c:pt>
                <c:pt idx="12">
                  <c:v>0.518918918918919</c:v>
                </c:pt>
                <c:pt idx="13">
                  <c:v>0.515789473684211</c:v>
                </c:pt>
                <c:pt idx="14">
                  <c:v>0.514102564102564</c:v>
                </c:pt>
                <c:pt idx="15">
                  <c:v>0.51125</c:v>
                </c:pt>
                <c:pt idx="16">
                  <c:v>0.517073170731707</c:v>
                </c:pt>
                <c:pt idx="17">
                  <c:v>0.511904761904762</c:v>
                </c:pt>
                <c:pt idx="18">
                  <c:v>0.511627906976744</c:v>
                </c:pt>
                <c:pt idx="19">
                  <c:v>0.510227272727273</c:v>
                </c:pt>
                <c:pt idx="20">
                  <c:v>0.51</c:v>
                </c:pt>
                <c:pt idx="21">
                  <c:v>0.51304347826087</c:v>
                </c:pt>
                <c:pt idx="22">
                  <c:v>0.511702127659574</c:v>
                </c:pt>
                <c:pt idx="23">
                  <c:v>0.513541666666667</c:v>
                </c:pt>
                <c:pt idx="24">
                  <c:v>0.512244897959184</c:v>
                </c:pt>
                <c:pt idx="25">
                  <c:v>0.514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'rule-replace-gen-0.1+1s'!$J$1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'rule-replace-gen-0.1+1s'!$J$2:$J$27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'rule-replace-gen-0.1+1s'!$K$1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'rule-replace-gen-0.1+1s'!$K$2:$K$27</c:f>
              <c:numCache>
                <c:formatCode>General</c:formatCode>
                <c:ptCount val="26"/>
                <c:pt idx="0">
                  <c:v>0.81</c:v>
                </c:pt>
                <c:pt idx="1">
                  <c:v>0.811538461538462</c:v>
                </c:pt>
                <c:pt idx="2">
                  <c:v>0.812962962962963</c:v>
                </c:pt>
                <c:pt idx="3">
                  <c:v>0.810714285714286</c:v>
                </c:pt>
                <c:pt idx="4">
                  <c:v>0.808620689655172</c:v>
                </c:pt>
                <c:pt idx="5">
                  <c:v>0.813333333333333</c:v>
                </c:pt>
                <c:pt idx="6">
                  <c:v>0.809677419354839</c:v>
                </c:pt>
                <c:pt idx="7">
                  <c:v>0.809375</c:v>
                </c:pt>
                <c:pt idx="8">
                  <c:v>0.813636363636364</c:v>
                </c:pt>
                <c:pt idx="9">
                  <c:v>0.816176470588235</c:v>
                </c:pt>
                <c:pt idx="10">
                  <c:v>0.812857142857143</c:v>
                </c:pt>
                <c:pt idx="11">
                  <c:v>0.811111111111111</c:v>
                </c:pt>
                <c:pt idx="12">
                  <c:v>0.812162162162162</c:v>
                </c:pt>
                <c:pt idx="13">
                  <c:v>0.811842105263158</c:v>
                </c:pt>
                <c:pt idx="14">
                  <c:v>0.811538461538462</c:v>
                </c:pt>
                <c:pt idx="15">
                  <c:v>0.8125</c:v>
                </c:pt>
                <c:pt idx="16">
                  <c:v>0.810975609756098</c:v>
                </c:pt>
                <c:pt idx="17">
                  <c:v>0.811904761904762</c:v>
                </c:pt>
                <c:pt idx="18">
                  <c:v>0.812790697674419</c:v>
                </c:pt>
                <c:pt idx="19">
                  <c:v>0.8125</c:v>
                </c:pt>
                <c:pt idx="20">
                  <c:v>0.811111111111111</c:v>
                </c:pt>
                <c:pt idx="21">
                  <c:v>0.81195652173913</c:v>
                </c:pt>
                <c:pt idx="22">
                  <c:v>0.811702127659575</c:v>
                </c:pt>
                <c:pt idx="23">
                  <c:v>0.809375</c:v>
                </c:pt>
                <c:pt idx="24">
                  <c:v>0.812244897959184</c:v>
                </c:pt>
                <c:pt idx="25">
                  <c:v>0.81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1359"/>
        <c:axId val="16064671"/>
      </c:lineChart>
      <c:catAx>
        <c:axId val="1605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6064671"/>
        <c:crosses val="autoZero"/>
        <c:auto val="1"/>
        <c:lblAlgn val="ctr"/>
        <c:lblOffset val="100"/>
        <c:tickLblSkip val="3"/>
        <c:noMultiLvlLbl val="0"/>
      </c:catAx>
      <c:valAx>
        <c:axId val="16064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605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'rule-replace-gen-0.01+1s'!$H$1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'rule-replace-gen-0.01+1s'!$H$2:$H$27</c:f>
              <c:numCache>
                <c:formatCode>General</c:formatCode>
                <c:ptCount val="26"/>
                <c:pt idx="0">
                  <c:v>0.438</c:v>
                </c:pt>
                <c:pt idx="1">
                  <c:v>0.457692307692308</c:v>
                </c:pt>
                <c:pt idx="2">
                  <c:v>0.47037037037037</c:v>
                </c:pt>
                <c:pt idx="3">
                  <c:v>0.483928571428571</c:v>
                </c:pt>
                <c:pt idx="4">
                  <c:v>0.491379310344828</c:v>
                </c:pt>
                <c:pt idx="5">
                  <c:v>0.5</c:v>
                </c:pt>
                <c:pt idx="6">
                  <c:v>0.496774193548387</c:v>
                </c:pt>
                <c:pt idx="7">
                  <c:v>0.4890625</c:v>
                </c:pt>
                <c:pt idx="8">
                  <c:v>0.474242424242424</c:v>
                </c:pt>
                <c:pt idx="9">
                  <c:v>0.464705882352941</c:v>
                </c:pt>
                <c:pt idx="10">
                  <c:v>0.461428571428571</c:v>
                </c:pt>
                <c:pt idx="11">
                  <c:v>0.475</c:v>
                </c:pt>
                <c:pt idx="12">
                  <c:v>0.482432432432432</c:v>
                </c:pt>
                <c:pt idx="13">
                  <c:v>0.493421052631579</c:v>
                </c:pt>
                <c:pt idx="14">
                  <c:v>0.497435897435897</c:v>
                </c:pt>
                <c:pt idx="15">
                  <c:v>0.5</c:v>
                </c:pt>
                <c:pt idx="16">
                  <c:v>0.497560975609756</c:v>
                </c:pt>
                <c:pt idx="17">
                  <c:v>0.498809523809524</c:v>
                </c:pt>
                <c:pt idx="18">
                  <c:v>0.487209302325581</c:v>
                </c:pt>
                <c:pt idx="19">
                  <c:v>0.476136363636364</c:v>
                </c:pt>
                <c:pt idx="20">
                  <c:v>0.474444444444444</c:v>
                </c:pt>
                <c:pt idx="21">
                  <c:v>0.481521739130435</c:v>
                </c:pt>
                <c:pt idx="22">
                  <c:v>0.492553191489362</c:v>
                </c:pt>
                <c:pt idx="23">
                  <c:v>0.503125</c:v>
                </c:pt>
                <c:pt idx="24">
                  <c:v>0.502040816326531</c:v>
                </c:pt>
                <c:pt idx="25">
                  <c:v>0.5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'rule-replace-gen-0.01+1s'!$I$1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'rule-replace-gen-0.01+1s'!$I$2:$I$27</c:f>
              <c:numCache>
                <c:formatCode>General</c:formatCode>
                <c:ptCount val="26"/>
                <c:pt idx="0">
                  <c:v>0.504</c:v>
                </c:pt>
                <c:pt idx="1">
                  <c:v>0.5</c:v>
                </c:pt>
                <c:pt idx="2">
                  <c:v>0.5</c:v>
                </c:pt>
                <c:pt idx="3">
                  <c:v>0.501785714285714</c:v>
                </c:pt>
                <c:pt idx="4">
                  <c:v>0.5</c:v>
                </c:pt>
                <c:pt idx="5">
                  <c:v>0.498333333333333</c:v>
                </c:pt>
                <c:pt idx="6">
                  <c:v>0.501612903225806</c:v>
                </c:pt>
                <c:pt idx="7">
                  <c:v>0.503125</c:v>
                </c:pt>
                <c:pt idx="8">
                  <c:v>0.503030303030303</c:v>
                </c:pt>
                <c:pt idx="9">
                  <c:v>0.502941176470588</c:v>
                </c:pt>
                <c:pt idx="10">
                  <c:v>0.511428571428571</c:v>
                </c:pt>
                <c:pt idx="11">
                  <c:v>0.511111111111111</c:v>
                </c:pt>
                <c:pt idx="12">
                  <c:v>0.508108108108108</c:v>
                </c:pt>
                <c:pt idx="13">
                  <c:v>0.505263157894737</c:v>
                </c:pt>
                <c:pt idx="14">
                  <c:v>0.506410256410256</c:v>
                </c:pt>
                <c:pt idx="15">
                  <c:v>0.50625</c:v>
                </c:pt>
                <c:pt idx="16">
                  <c:v>0.507317073170732</c:v>
                </c:pt>
                <c:pt idx="17">
                  <c:v>0.504761904761905</c:v>
                </c:pt>
                <c:pt idx="18">
                  <c:v>0.502325581395349</c:v>
                </c:pt>
                <c:pt idx="19">
                  <c:v>0.502272727272727</c:v>
                </c:pt>
                <c:pt idx="20">
                  <c:v>0.506666666666667</c:v>
                </c:pt>
                <c:pt idx="21">
                  <c:v>0.505434782608696</c:v>
                </c:pt>
                <c:pt idx="22">
                  <c:v>0.50531914893617</c:v>
                </c:pt>
                <c:pt idx="23">
                  <c:v>0.50625</c:v>
                </c:pt>
                <c:pt idx="24">
                  <c:v>0.506122448979592</c:v>
                </c:pt>
                <c:pt idx="25">
                  <c:v>0.51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'rule-replace-gen-0.01+1s'!$J$1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'rule-replace-gen-0.01+1s'!$J$2:$J$27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'rule-replace-gen-0.01+1s'!$K$1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'rule-replace-gen-0.01+1s'!$K$2:$K$27</c:f>
              <c:numCache>
                <c:formatCode>General</c:formatCode>
                <c:ptCount val="26"/>
                <c:pt idx="0">
                  <c:v>0.884</c:v>
                </c:pt>
                <c:pt idx="1">
                  <c:v>0.884615384615385</c:v>
                </c:pt>
                <c:pt idx="2">
                  <c:v>0.883333333333333</c:v>
                </c:pt>
                <c:pt idx="3">
                  <c:v>0.883928571428571</c:v>
                </c:pt>
                <c:pt idx="4">
                  <c:v>0.887931034482759</c:v>
                </c:pt>
                <c:pt idx="5">
                  <c:v>0.881666666666667</c:v>
                </c:pt>
                <c:pt idx="6">
                  <c:v>0.880645161290323</c:v>
                </c:pt>
                <c:pt idx="7">
                  <c:v>0.88125</c:v>
                </c:pt>
                <c:pt idx="8">
                  <c:v>0.88030303030303</c:v>
                </c:pt>
                <c:pt idx="9">
                  <c:v>0.879411764705882</c:v>
                </c:pt>
                <c:pt idx="10">
                  <c:v>0.882857142857143</c:v>
                </c:pt>
                <c:pt idx="11">
                  <c:v>0.881944444444444</c:v>
                </c:pt>
                <c:pt idx="12">
                  <c:v>0.885135135135135</c:v>
                </c:pt>
                <c:pt idx="13">
                  <c:v>0.884210526315789</c:v>
                </c:pt>
                <c:pt idx="14">
                  <c:v>0.883333333333333</c:v>
                </c:pt>
                <c:pt idx="15">
                  <c:v>0.8825</c:v>
                </c:pt>
                <c:pt idx="16">
                  <c:v>0.881707317073171</c:v>
                </c:pt>
                <c:pt idx="17">
                  <c:v>0.882142857142857</c:v>
                </c:pt>
                <c:pt idx="18">
                  <c:v>0.883720930232558</c:v>
                </c:pt>
                <c:pt idx="19">
                  <c:v>0.882954545454545</c:v>
                </c:pt>
                <c:pt idx="20">
                  <c:v>0.884444444444444</c:v>
                </c:pt>
                <c:pt idx="21">
                  <c:v>0.883695652173913</c:v>
                </c:pt>
                <c:pt idx="22">
                  <c:v>0.882978723404255</c:v>
                </c:pt>
                <c:pt idx="23">
                  <c:v>0.883333333333333</c:v>
                </c:pt>
                <c:pt idx="24">
                  <c:v>0.885714285714286</c:v>
                </c:pt>
                <c:pt idx="25">
                  <c:v>0.887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52991"/>
        <c:axId val="49846751"/>
      </c:lineChart>
      <c:catAx>
        <c:axId val="4985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49846751"/>
        <c:crosses val="autoZero"/>
        <c:auto val="1"/>
        <c:lblAlgn val="ctr"/>
        <c:lblOffset val="100"/>
        <c:tickLblSkip val="3"/>
        <c:noMultiLvlLbl val="0"/>
      </c:catAx>
      <c:valAx>
        <c:axId val="498467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4985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'rule-replace-gen-0.01+0.1s'!$H$1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'rule-replace-gen-0.01+0.1s'!$G$2:$G$27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'rule-replace-gen-0.01+0.1s'!$H$2:$H$27</c:f>
              <c:numCache>
                <c:formatCode>General</c:formatCode>
                <c:ptCount val="26"/>
                <c:pt idx="0">
                  <c:v>0.44</c:v>
                </c:pt>
                <c:pt idx="1">
                  <c:v>0.448076923076923</c:v>
                </c:pt>
                <c:pt idx="2">
                  <c:v>0.466666666666667</c:v>
                </c:pt>
                <c:pt idx="3">
                  <c:v>0.485714285714286</c:v>
                </c:pt>
                <c:pt idx="4">
                  <c:v>0.496551724137931</c:v>
                </c:pt>
                <c:pt idx="5">
                  <c:v>0.51</c:v>
                </c:pt>
                <c:pt idx="6">
                  <c:v>0.5</c:v>
                </c:pt>
                <c:pt idx="7">
                  <c:v>0.4953125</c:v>
                </c:pt>
                <c:pt idx="8">
                  <c:v>0.490909090909091</c:v>
                </c:pt>
                <c:pt idx="9">
                  <c:v>0.479411764705882</c:v>
                </c:pt>
                <c:pt idx="10">
                  <c:v>0.47</c:v>
                </c:pt>
                <c:pt idx="11">
                  <c:v>0.476388888888889</c:v>
                </c:pt>
                <c:pt idx="12">
                  <c:v>0.487837837837838</c:v>
                </c:pt>
                <c:pt idx="13">
                  <c:v>0.497368421052632</c:v>
                </c:pt>
                <c:pt idx="14">
                  <c:v>0.503846153846154</c:v>
                </c:pt>
                <c:pt idx="15">
                  <c:v>0.5125</c:v>
                </c:pt>
                <c:pt idx="16">
                  <c:v>0.504878048780488</c:v>
                </c:pt>
                <c:pt idx="17">
                  <c:v>0.503571428571429</c:v>
                </c:pt>
                <c:pt idx="18">
                  <c:v>0.501162790697674</c:v>
                </c:pt>
                <c:pt idx="19">
                  <c:v>0.492045454545455</c:v>
                </c:pt>
                <c:pt idx="20">
                  <c:v>0.487777777777778</c:v>
                </c:pt>
                <c:pt idx="21">
                  <c:v>0.492391304347826</c:v>
                </c:pt>
                <c:pt idx="22">
                  <c:v>0.5</c:v>
                </c:pt>
                <c:pt idx="23">
                  <c:v>0.50625</c:v>
                </c:pt>
                <c:pt idx="24">
                  <c:v>0.511224489795918</c:v>
                </c:pt>
                <c:pt idx="25">
                  <c:v>0.513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'rule-replace-gen-0.01+0.1s'!$I$1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'rule-replace-gen-0.01+0.1s'!$G$2:$G$27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'rule-replace-gen-0.01+0.1s'!$I$2:$I$27</c:f>
              <c:numCache>
                <c:formatCode>General</c:formatCode>
                <c:ptCount val="26"/>
                <c:pt idx="0">
                  <c:v>0.512</c:v>
                </c:pt>
                <c:pt idx="1">
                  <c:v>0.511538461538461</c:v>
                </c:pt>
                <c:pt idx="2">
                  <c:v>0.518518518518518</c:v>
                </c:pt>
                <c:pt idx="3">
                  <c:v>0.519642857142857</c:v>
                </c:pt>
                <c:pt idx="4">
                  <c:v>0.517241379310345</c:v>
                </c:pt>
                <c:pt idx="5">
                  <c:v>0.516666666666667</c:v>
                </c:pt>
                <c:pt idx="6">
                  <c:v>0.517741935483871</c:v>
                </c:pt>
                <c:pt idx="7">
                  <c:v>0.5171875</c:v>
                </c:pt>
                <c:pt idx="8">
                  <c:v>0.513636363636364</c:v>
                </c:pt>
                <c:pt idx="9">
                  <c:v>0.516176470588235</c:v>
                </c:pt>
                <c:pt idx="10">
                  <c:v>0.512857142857143</c:v>
                </c:pt>
                <c:pt idx="11">
                  <c:v>0.513888888888889</c:v>
                </c:pt>
                <c:pt idx="12">
                  <c:v>0.514864864864865</c:v>
                </c:pt>
                <c:pt idx="13">
                  <c:v>0.514473684210526</c:v>
                </c:pt>
                <c:pt idx="14">
                  <c:v>0.511538461538461</c:v>
                </c:pt>
                <c:pt idx="15">
                  <c:v>0.51</c:v>
                </c:pt>
                <c:pt idx="16">
                  <c:v>0.509756097560976</c:v>
                </c:pt>
                <c:pt idx="17">
                  <c:v>0.51547619047619</c:v>
                </c:pt>
                <c:pt idx="18">
                  <c:v>0.519767441860465</c:v>
                </c:pt>
                <c:pt idx="19">
                  <c:v>0.523863636363636</c:v>
                </c:pt>
                <c:pt idx="20">
                  <c:v>0.524444444444444</c:v>
                </c:pt>
                <c:pt idx="21">
                  <c:v>0.525</c:v>
                </c:pt>
                <c:pt idx="22">
                  <c:v>0.525531914893617</c:v>
                </c:pt>
                <c:pt idx="23">
                  <c:v>0.526041666666667</c:v>
                </c:pt>
                <c:pt idx="24">
                  <c:v>0.526530612244898</c:v>
                </c:pt>
                <c:pt idx="25">
                  <c:v>0.525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'rule-replace-gen-0.01+0.1s'!$J$1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'rule-replace-gen-0.01+0.1s'!$G$2:$G$27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'rule-replace-gen-0.01+0.1s'!$J$2:$J$27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'rule-replace-gen-0.01+0.1s'!$K$1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'rule-replace-gen-0.01+0.1s'!$G$2:$G$27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'rule-replace-gen-0.01+0.1s'!$K$2:$K$27</c:f>
              <c:numCache>
                <c:formatCode>General</c:formatCode>
                <c:ptCount val="26"/>
                <c:pt idx="0">
                  <c:v>0.84</c:v>
                </c:pt>
                <c:pt idx="1">
                  <c:v>0.836538461538462</c:v>
                </c:pt>
                <c:pt idx="2">
                  <c:v>0.835185185185185</c:v>
                </c:pt>
                <c:pt idx="3">
                  <c:v>0.828571428571429</c:v>
                </c:pt>
                <c:pt idx="4">
                  <c:v>0.829310344827586</c:v>
                </c:pt>
                <c:pt idx="5">
                  <c:v>0.826666666666667</c:v>
                </c:pt>
                <c:pt idx="6">
                  <c:v>0.824193548387097</c:v>
                </c:pt>
                <c:pt idx="7">
                  <c:v>0.825</c:v>
                </c:pt>
                <c:pt idx="8">
                  <c:v>0.822727272727273</c:v>
                </c:pt>
                <c:pt idx="9">
                  <c:v>0.820588235294118</c:v>
                </c:pt>
                <c:pt idx="10">
                  <c:v>0.818571428571429</c:v>
                </c:pt>
                <c:pt idx="11">
                  <c:v>0.818055555555556</c:v>
                </c:pt>
                <c:pt idx="12">
                  <c:v>0.818918918918919</c:v>
                </c:pt>
                <c:pt idx="13">
                  <c:v>0.818421052631579</c:v>
                </c:pt>
                <c:pt idx="14">
                  <c:v>0.817948717948718</c:v>
                </c:pt>
                <c:pt idx="15">
                  <c:v>0.8175</c:v>
                </c:pt>
                <c:pt idx="16">
                  <c:v>0.815853658536585</c:v>
                </c:pt>
                <c:pt idx="17">
                  <c:v>0.814285714285714</c:v>
                </c:pt>
                <c:pt idx="18">
                  <c:v>0.81046511627907</c:v>
                </c:pt>
                <c:pt idx="19">
                  <c:v>0.810227272727273</c:v>
                </c:pt>
                <c:pt idx="20">
                  <c:v>0.81</c:v>
                </c:pt>
                <c:pt idx="21">
                  <c:v>0.808695652173913</c:v>
                </c:pt>
                <c:pt idx="22">
                  <c:v>0.808510638297872</c:v>
                </c:pt>
                <c:pt idx="23">
                  <c:v>0.805208333333333</c:v>
                </c:pt>
                <c:pt idx="24">
                  <c:v>0.805102040816327</c:v>
                </c:pt>
                <c:pt idx="25">
                  <c:v>0.804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75695"/>
        <c:axId val="56181519"/>
      </c:lineChart>
      <c:catAx>
        <c:axId val="5617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6181519"/>
        <c:crosses val="autoZero"/>
        <c:auto val="1"/>
        <c:lblAlgn val="ctr"/>
        <c:lblOffset val="100"/>
        <c:tickLblSkip val="3"/>
        <c:noMultiLvlLbl val="0"/>
      </c:catAx>
      <c:valAx>
        <c:axId val="5618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617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'rule-replace-tr-1s'!$H$1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'rule-replace-tr-1s'!$H$2:$H$27</c:f>
              <c:numCache>
                <c:formatCode>General</c:formatCode>
                <c:ptCount val="26"/>
                <c:pt idx="0">
                  <c:v>0.404</c:v>
                </c:pt>
                <c:pt idx="1">
                  <c:v>0.405769230769231</c:v>
                </c:pt>
                <c:pt idx="2">
                  <c:v>0.409259259259259</c:v>
                </c:pt>
                <c:pt idx="3">
                  <c:v>0.430357142857143</c:v>
                </c:pt>
                <c:pt idx="4">
                  <c:v>0.448275862068966</c:v>
                </c:pt>
                <c:pt idx="5">
                  <c:v>0.465</c:v>
                </c:pt>
                <c:pt idx="6">
                  <c:v>0.470967741935484</c:v>
                </c:pt>
                <c:pt idx="7">
                  <c:v>0.4640625</c:v>
                </c:pt>
                <c:pt idx="8">
                  <c:v>0.453030303030303</c:v>
                </c:pt>
                <c:pt idx="9">
                  <c:v>0.442647058823529</c:v>
                </c:pt>
                <c:pt idx="10">
                  <c:v>0.434285714285714</c:v>
                </c:pt>
                <c:pt idx="11">
                  <c:v>0.431944444444444</c:v>
                </c:pt>
                <c:pt idx="12">
                  <c:v>0.425675675675676</c:v>
                </c:pt>
                <c:pt idx="13">
                  <c:v>0.435526315789474</c:v>
                </c:pt>
                <c:pt idx="14">
                  <c:v>0.447435897435897</c:v>
                </c:pt>
                <c:pt idx="15">
                  <c:v>0.46</c:v>
                </c:pt>
                <c:pt idx="16">
                  <c:v>0.467073170731707</c:v>
                </c:pt>
                <c:pt idx="17">
                  <c:v>0.469047619047619</c:v>
                </c:pt>
                <c:pt idx="18">
                  <c:v>0.461627906976744</c:v>
                </c:pt>
                <c:pt idx="19">
                  <c:v>0.453409090909091</c:v>
                </c:pt>
                <c:pt idx="20">
                  <c:v>0.45</c:v>
                </c:pt>
                <c:pt idx="21">
                  <c:v>0.446739130434783</c:v>
                </c:pt>
                <c:pt idx="22">
                  <c:v>0.442553191489362</c:v>
                </c:pt>
                <c:pt idx="23">
                  <c:v>0.444791666666667</c:v>
                </c:pt>
                <c:pt idx="24">
                  <c:v>0.451020408163265</c:v>
                </c:pt>
                <c:pt idx="25">
                  <c:v>0.461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'rule-replace-tr-1s'!$I$1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'rule-replace-tr-1s'!$I$2:$I$27</c:f>
              <c:numCache>
                <c:formatCode>General</c:formatCode>
                <c:ptCount val="26"/>
                <c:pt idx="0">
                  <c:v>0.514</c:v>
                </c:pt>
                <c:pt idx="1">
                  <c:v>0.511538461538461</c:v>
                </c:pt>
                <c:pt idx="2">
                  <c:v>0.511111111111111</c:v>
                </c:pt>
                <c:pt idx="3">
                  <c:v>0.5125</c:v>
                </c:pt>
                <c:pt idx="4">
                  <c:v>0.510344827586207</c:v>
                </c:pt>
                <c:pt idx="5">
                  <c:v>0.511666666666667</c:v>
                </c:pt>
                <c:pt idx="6">
                  <c:v>0.508064516129032</c:v>
                </c:pt>
                <c:pt idx="7">
                  <c:v>0.50625</c:v>
                </c:pt>
                <c:pt idx="8">
                  <c:v>0.503030303030303</c:v>
                </c:pt>
                <c:pt idx="9">
                  <c:v>0.502941176470588</c:v>
                </c:pt>
                <c:pt idx="10">
                  <c:v>0.5</c:v>
                </c:pt>
                <c:pt idx="11">
                  <c:v>0.504166666666667</c:v>
                </c:pt>
                <c:pt idx="12">
                  <c:v>0.506756756756757</c:v>
                </c:pt>
                <c:pt idx="13">
                  <c:v>0.507894736842105</c:v>
                </c:pt>
                <c:pt idx="14">
                  <c:v>0.51025641025641</c:v>
                </c:pt>
                <c:pt idx="15">
                  <c:v>0.50875</c:v>
                </c:pt>
                <c:pt idx="16">
                  <c:v>0.508536585365854</c:v>
                </c:pt>
                <c:pt idx="17">
                  <c:v>0.513095238095238</c:v>
                </c:pt>
                <c:pt idx="18">
                  <c:v>0.513953488372093</c:v>
                </c:pt>
                <c:pt idx="19">
                  <c:v>0.513636363636364</c:v>
                </c:pt>
                <c:pt idx="20">
                  <c:v>0.513333333333333</c:v>
                </c:pt>
                <c:pt idx="21">
                  <c:v>0.514130434782609</c:v>
                </c:pt>
                <c:pt idx="22">
                  <c:v>0.518085106382979</c:v>
                </c:pt>
                <c:pt idx="23">
                  <c:v>0.517708333333333</c:v>
                </c:pt>
                <c:pt idx="24">
                  <c:v>0.51734693877551</c:v>
                </c:pt>
                <c:pt idx="25">
                  <c:v>0.52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'rule-replace-tr-1s'!$J$1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'rule-replace-tr-1s'!$K$1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'rule-replace-tr-1s'!$K$2:$K$27</c:f>
              <c:numCache>
                <c:formatCode>General</c:formatCode>
                <c:ptCount val="26"/>
                <c:pt idx="0">
                  <c:v>0.908</c:v>
                </c:pt>
                <c:pt idx="1">
                  <c:v>0.907692307692308</c:v>
                </c:pt>
                <c:pt idx="2">
                  <c:v>0.907407407407407</c:v>
                </c:pt>
                <c:pt idx="3">
                  <c:v>0.907142857142857</c:v>
                </c:pt>
                <c:pt idx="4">
                  <c:v>0.906896551724138</c:v>
                </c:pt>
                <c:pt idx="5">
                  <c:v>0.906666666666667</c:v>
                </c:pt>
                <c:pt idx="6">
                  <c:v>0.906451612903226</c:v>
                </c:pt>
                <c:pt idx="7">
                  <c:v>0.90625</c:v>
                </c:pt>
                <c:pt idx="8">
                  <c:v>0.906060606060606</c:v>
                </c:pt>
                <c:pt idx="9">
                  <c:v>0.907352941176471</c:v>
                </c:pt>
                <c:pt idx="10">
                  <c:v>0.908571428571429</c:v>
                </c:pt>
                <c:pt idx="11">
                  <c:v>0.909722222222222</c:v>
                </c:pt>
                <c:pt idx="12">
                  <c:v>0.910810810810811</c:v>
                </c:pt>
                <c:pt idx="13">
                  <c:v>0.910526315789474</c:v>
                </c:pt>
                <c:pt idx="14">
                  <c:v>0.91025641025641</c:v>
                </c:pt>
                <c:pt idx="15">
                  <c:v>0.91</c:v>
                </c:pt>
                <c:pt idx="16">
                  <c:v>0.909756097560976</c:v>
                </c:pt>
                <c:pt idx="17">
                  <c:v>0.90952380952381</c:v>
                </c:pt>
                <c:pt idx="18">
                  <c:v>0.909302325581395</c:v>
                </c:pt>
                <c:pt idx="19">
                  <c:v>0.909090909090909</c:v>
                </c:pt>
                <c:pt idx="20">
                  <c:v>0.908888888888889</c:v>
                </c:pt>
                <c:pt idx="21">
                  <c:v>0.908695652173913</c:v>
                </c:pt>
                <c:pt idx="22">
                  <c:v>0.908510638297872</c:v>
                </c:pt>
                <c:pt idx="23">
                  <c:v>0.908333333333333</c:v>
                </c:pt>
                <c:pt idx="24">
                  <c:v>0.908163265306122</c:v>
                </c:pt>
                <c:pt idx="25">
                  <c:v>0.908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76527"/>
        <c:axId val="56176943"/>
      </c:lineChart>
      <c:catAx>
        <c:axId val="5617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6176943"/>
        <c:crosses val="autoZero"/>
        <c:auto val="1"/>
        <c:lblAlgn val="ctr"/>
        <c:lblOffset val="100"/>
        <c:tickLblSkip val="3"/>
        <c:noMultiLvlLbl val="0"/>
      </c:catAx>
      <c:valAx>
        <c:axId val="561769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617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'rule-replace-tr-0.1s'!$H$1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'rule-replace-tr-0.1s'!$H$2:$H$27</c:f>
              <c:numCache>
                <c:formatCode>General</c:formatCode>
                <c:ptCount val="26"/>
                <c:pt idx="0">
                  <c:v>0.404</c:v>
                </c:pt>
                <c:pt idx="1">
                  <c:v>0.423076923076923</c:v>
                </c:pt>
                <c:pt idx="2">
                  <c:v>0.438888888888889</c:v>
                </c:pt>
                <c:pt idx="3">
                  <c:v>0.451785714285714</c:v>
                </c:pt>
                <c:pt idx="4">
                  <c:v>0.470689655172414</c:v>
                </c:pt>
                <c:pt idx="5">
                  <c:v>0.488333333333333</c:v>
                </c:pt>
                <c:pt idx="6">
                  <c:v>0.485483870967742</c:v>
                </c:pt>
                <c:pt idx="7">
                  <c:v>0.4734375</c:v>
                </c:pt>
                <c:pt idx="8">
                  <c:v>0.459090909090909</c:v>
                </c:pt>
                <c:pt idx="9">
                  <c:v>0.445588235294118</c:v>
                </c:pt>
                <c:pt idx="10">
                  <c:v>0.432857142857143</c:v>
                </c:pt>
                <c:pt idx="11">
                  <c:v>0.445833333333333</c:v>
                </c:pt>
                <c:pt idx="12">
                  <c:v>0.456756756756757</c:v>
                </c:pt>
                <c:pt idx="13">
                  <c:v>0.465789473684211</c:v>
                </c:pt>
                <c:pt idx="14">
                  <c:v>0.47948717948718</c:v>
                </c:pt>
                <c:pt idx="15">
                  <c:v>0.48875</c:v>
                </c:pt>
                <c:pt idx="16">
                  <c:v>0.490243902439024</c:v>
                </c:pt>
                <c:pt idx="17">
                  <c:v>0.480952380952381</c:v>
                </c:pt>
                <c:pt idx="18">
                  <c:v>0.469767441860465</c:v>
                </c:pt>
                <c:pt idx="19">
                  <c:v>0.459090909090909</c:v>
                </c:pt>
                <c:pt idx="20">
                  <c:v>0.448888888888889</c:v>
                </c:pt>
                <c:pt idx="21">
                  <c:v>0.457608695652174</c:v>
                </c:pt>
                <c:pt idx="22">
                  <c:v>0.467021276595745</c:v>
                </c:pt>
                <c:pt idx="23">
                  <c:v>0.471875</c:v>
                </c:pt>
                <c:pt idx="24">
                  <c:v>0.481632653061224</c:v>
                </c:pt>
                <c:pt idx="25">
                  <c:v>0.492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'rule-replace-tr-0.1s'!$I$1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'rule-replace-tr-0.1s'!$I$2:$I$27</c:f>
              <c:numCache>
                <c:formatCode>General</c:formatCode>
                <c:ptCount val="26"/>
                <c:pt idx="0">
                  <c:v>0.48</c:v>
                </c:pt>
                <c:pt idx="1">
                  <c:v>0.488461538461538</c:v>
                </c:pt>
                <c:pt idx="2">
                  <c:v>0.490740740740741</c:v>
                </c:pt>
                <c:pt idx="3">
                  <c:v>0.489285714285714</c:v>
                </c:pt>
                <c:pt idx="4">
                  <c:v>0.48448275862069</c:v>
                </c:pt>
                <c:pt idx="5">
                  <c:v>0.485</c:v>
                </c:pt>
                <c:pt idx="6">
                  <c:v>0.482258064516129</c:v>
                </c:pt>
                <c:pt idx="7">
                  <c:v>0.4859375</c:v>
                </c:pt>
                <c:pt idx="8">
                  <c:v>0.490909090909091</c:v>
                </c:pt>
                <c:pt idx="9">
                  <c:v>0.485294117647059</c:v>
                </c:pt>
                <c:pt idx="10">
                  <c:v>0.485714285714286</c:v>
                </c:pt>
                <c:pt idx="11">
                  <c:v>0.490277777777778</c:v>
                </c:pt>
                <c:pt idx="12">
                  <c:v>0.489189189189189</c:v>
                </c:pt>
                <c:pt idx="13">
                  <c:v>0.485526315789474</c:v>
                </c:pt>
                <c:pt idx="14">
                  <c:v>0.483333333333333</c:v>
                </c:pt>
                <c:pt idx="15">
                  <c:v>0.4825</c:v>
                </c:pt>
                <c:pt idx="16">
                  <c:v>0.484146341463415</c:v>
                </c:pt>
                <c:pt idx="17">
                  <c:v>0.48452380952381</c:v>
                </c:pt>
                <c:pt idx="18">
                  <c:v>0.482558139534884</c:v>
                </c:pt>
                <c:pt idx="19">
                  <c:v>0.481818181818182</c:v>
                </c:pt>
                <c:pt idx="20">
                  <c:v>0.478888888888889</c:v>
                </c:pt>
                <c:pt idx="21">
                  <c:v>0.479347826086957</c:v>
                </c:pt>
                <c:pt idx="22">
                  <c:v>0.478723404255319</c:v>
                </c:pt>
                <c:pt idx="23">
                  <c:v>0.478125</c:v>
                </c:pt>
                <c:pt idx="24">
                  <c:v>0.474489795918367</c:v>
                </c:pt>
                <c:pt idx="25">
                  <c:v>0.472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'rule-replace-tr-0.1s'!$J$1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'rule-replace-tr-0.1s'!$K$1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'rule-replace-tr-0.1s'!$K$2:$K$27</c:f>
              <c:numCache>
                <c:formatCode>General</c:formatCode>
                <c:ptCount val="26"/>
                <c:pt idx="0">
                  <c:v>0.944</c:v>
                </c:pt>
                <c:pt idx="1">
                  <c:v>0.944230769230769</c:v>
                </c:pt>
                <c:pt idx="2">
                  <c:v>0.944444444444444</c:v>
                </c:pt>
                <c:pt idx="3">
                  <c:v>0.944642857142857</c:v>
                </c:pt>
                <c:pt idx="4">
                  <c:v>0.944827586206897</c:v>
                </c:pt>
                <c:pt idx="5">
                  <c:v>0.945</c:v>
                </c:pt>
                <c:pt idx="6">
                  <c:v>0.945161290322581</c:v>
                </c:pt>
                <c:pt idx="7">
                  <c:v>0.9453125</c:v>
                </c:pt>
                <c:pt idx="8">
                  <c:v>0.945454545454545</c:v>
                </c:pt>
                <c:pt idx="9">
                  <c:v>0.945588235294118</c:v>
                </c:pt>
                <c:pt idx="10">
                  <c:v>0.945714285714286</c:v>
                </c:pt>
                <c:pt idx="11">
                  <c:v>0.945833333333333</c:v>
                </c:pt>
                <c:pt idx="12">
                  <c:v>0.945945945945946</c:v>
                </c:pt>
                <c:pt idx="13">
                  <c:v>0.946052631578947</c:v>
                </c:pt>
                <c:pt idx="14">
                  <c:v>0.946153846153846</c:v>
                </c:pt>
                <c:pt idx="15">
                  <c:v>0.94625</c:v>
                </c:pt>
                <c:pt idx="16">
                  <c:v>0.946341463414634</c:v>
                </c:pt>
                <c:pt idx="17">
                  <c:v>0.946428571428571</c:v>
                </c:pt>
                <c:pt idx="18">
                  <c:v>0.946511627906977</c:v>
                </c:pt>
                <c:pt idx="19">
                  <c:v>0.946590909090909</c:v>
                </c:pt>
                <c:pt idx="20">
                  <c:v>0.946666666666667</c:v>
                </c:pt>
                <c:pt idx="21">
                  <c:v>0.946739130434783</c:v>
                </c:pt>
                <c:pt idx="22">
                  <c:v>0.946808510638298</c:v>
                </c:pt>
                <c:pt idx="23">
                  <c:v>0.946875</c:v>
                </c:pt>
                <c:pt idx="24">
                  <c:v>0.946938775510204</c:v>
                </c:pt>
                <c:pt idx="25">
                  <c:v>0.947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54575"/>
        <c:axId val="54450831"/>
      </c:lineChart>
      <c:catAx>
        <c:axId val="5445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4450831"/>
        <c:crosses val="autoZero"/>
        <c:auto val="1"/>
        <c:lblAlgn val="ctr"/>
        <c:lblOffset val="100"/>
        <c:tickLblSkip val="3"/>
        <c:noMultiLvlLbl val="0"/>
      </c:catAx>
      <c:valAx>
        <c:axId val="544508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445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'rule-replace-tr-0.01s'!$H$1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'rule-replace-tr-0.01s'!$H$2:$H$27</c:f>
              <c:numCache>
                <c:formatCode>General</c:formatCode>
                <c:ptCount val="26"/>
                <c:pt idx="0">
                  <c:v>0.404</c:v>
                </c:pt>
                <c:pt idx="1">
                  <c:v>0.421153846153846</c:v>
                </c:pt>
                <c:pt idx="2">
                  <c:v>0.442592592592593</c:v>
                </c:pt>
                <c:pt idx="3">
                  <c:v>0.455357142857143</c:v>
                </c:pt>
                <c:pt idx="4">
                  <c:v>0.474137931034483</c:v>
                </c:pt>
                <c:pt idx="5">
                  <c:v>0.491666666666667</c:v>
                </c:pt>
                <c:pt idx="6">
                  <c:v>0.488709677419355</c:v>
                </c:pt>
                <c:pt idx="7">
                  <c:v>0.4734375</c:v>
                </c:pt>
                <c:pt idx="8">
                  <c:v>0.459090909090909</c:v>
                </c:pt>
                <c:pt idx="9">
                  <c:v>0.445588235294118</c:v>
                </c:pt>
                <c:pt idx="10">
                  <c:v>0.432857142857143</c:v>
                </c:pt>
                <c:pt idx="11">
                  <c:v>0.444444444444444</c:v>
                </c:pt>
                <c:pt idx="12">
                  <c:v>0.458108108108108</c:v>
                </c:pt>
                <c:pt idx="13">
                  <c:v>0.468421052631579</c:v>
                </c:pt>
                <c:pt idx="14">
                  <c:v>0.480769230769231</c:v>
                </c:pt>
                <c:pt idx="15">
                  <c:v>0.4925</c:v>
                </c:pt>
                <c:pt idx="16">
                  <c:v>0.492682926829268</c:v>
                </c:pt>
                <c:pt idx="17">
                  <c:v>0.480952380952381</c:v>
                </c:pt>
                <c:pt idx="18">
                  <c:v>0.469767441860465</c:v>
                </c:pt>
                <c:pt idx="19">
                  <c:v>0.459090909090909</c:v>
                </c:pt>
                <c:pt idx="20">
                  <c:v>0.448888888888889</c:v>
                </c:pt>
                <c:pt idx="21">
                  <c:v>0.456521739130435</c:v>
                </c:pt>
                <c:pt idx="22">
                  <c:v>0.461702127659574</c:v>
                </c:pt>
                <c:pt idx="23">
                  <c:v>0.472916666666667</c:v>
                </c:pt>
                <c:pt idx="24">
                  <c:v>0.48265306122449</c:v>
                </c:pt>
                <c:pt idx="25">
                  <c:v>0.493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'rule-replace-tr-0.01s'!$I$1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'rule-replace-tr-0.01s'!$I$2:$I$27</c:f>
              <c:numCache>
                <c:formatCode>General</c:formatCode>
                <c:ptCount val="26"/>
                <c:pt idx="0">
                  <c:v>0.484</c:v>
                </c:pt>
                <c:pt idx="1">
                  <c:v>0.482692307692308</c:v>
                </c:pt>
                <c:pt idx="2">
                  <c:v>0.477777777777778</c:v>
                </c:pt>
                <c:pt idx="3">
                  <c:v>0.480357142857143</c:v>
                </c:pt>
                <c:pt idx="4">
                  <c:v>0.475862068965517</c:v>
                </c:pt>
                <c:pt idx="5">
                  <c:v>0.476666666666667</c:v>
                </c:pt>
                <c:pt idx="6">
                  <c:v>0.47258064516129</c:v>
                </c:pt>
                <c:pt idx="7">
                  <c:v>0.4703125</c:v>
                </c:pt>
                <c:pt idx="8">
                  <c:v>0.46969696969697</c:v>
                </c:pt>
                <c:pt idx="9">
                  <c:v>0.473529411764706</c:v>
                </c:pt>
                <c:pt idx="10">
                  <c:v>0.475714285714286</c:v>
                </c:pt>
                <c:pt idx="11">
                  <c:v>0.472222222222222</c:v>
                </c:pt>
                <c:pt idx="12">
                  <c:v>0.47972972972973</c:v>
                </c:pt>
                <c:pt idx="13">
                  <c:v>0.484210526315789</c:v>
                </c:pt>
                <c:pt idx="14">
                  <c:v>0.482051282051282</c:v>
                </c:pt>
                <c:pt idx="15">
                  <c:v>0.4775</c:v>
                </c:pt>
                <c:pt idx="16">
                  <c:v>0.478048780487805</c:v>
                </c:pt>
                <c:pt idx="17">
                  <c:v>0.477380952380952</c:v>
                </c:pt>
                <c:pt idx="18">
                  <c:v>0.476744186046512</c:v>
                </c:pt>
                <c:pt idx="19">
                  <c:v>0.475</c:v>
                </c:pt>
                <c:pt idx="20">
                  <c:v>0.476666666666667</c:v>
                </c:pt>
                <c:pt idx="21">
                  <c:v>0.480434782608696</c:v>
                </c:pt>
                <c:pt idx="22">
                  <c:v>0.480851063829787</c:v>
                </c:pt>
                <c:pt idx="23">
                  <c:v>0.482291666666667</c:v>
                </c:pt>
                <c:pt idx="24">
                  <c:v>0.481632653061224</c:v>
                </c:pt>
                <c:pt idx="25">
                  <c:v>0.487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'rule-replace-tr-0.01s'!$J$1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'rule-replace-tr-0.01s'!$K$1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'rule-replace-tr-0.01s'!$K$2:$K$27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58399"/>
        <c:axId val="49856319"/>
      </c:lineChart>
      <c:catAx>
        <c:axId val="4985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49856319"/>
        <c:crosses val="autoZero"/>
        <c:auto val="1"/>
        <c:lblAlgn val="ctr"/>
        <c:lblOffset val="100"/>
        <c:tickLblSkip val="3"/>
        <c:noMultiLvlLbl val="0"/>
      </c:catAx>
      <c:valAx>
        <c:axId val="498563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498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'rule-replace-tr-0.1+1s'!$H$1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'rule-replace-tr-0.1+1s'!$H$2:$H$27</c:f>
              <c:numCache>
                <c:formatCode>General</c:formatCode>
                <c:ptCount val="26"/>
                <c:pt idx="0">
                  <c:v>0.446</c:v>
                </c:pt>
                <c:pt idx="1">
                  <c:v>0.455769230769231</c:v>
                </c:pt>
                <c:pt idx="2">
                  <c:v>0.468518518518519</c:v>
                </c:pt>
                <c:pt idx="3">
                  <c:v>0.485714285714286</c:v>
                </c:pt>
                <c:pt idx="4">
                  <c:v>0.498275862068966</c:v>
                </c:pt>
                <c:pt idx="5">
                  <c:v>0.508333333333333</c:v>
                </c:pt>
                <c:pt idx="6">
                  <c:v>0.503225806451613</c:v>
                </c:pt>
                <c:pt idx="7">
                  <c:v>0.4953125</c:v>
                </c:pt>
                <c:pt idx="8">
                  <c:v>0.490909090909091</c:v>
                </c:pt>
                <c:pt idx="9">
                  <c:v>0.485294117647059</c:v>
                </c:pt>
                <c:pt idx="10">
                  <c:v>0.474285714285714</c:v>
                </c:pt>
                <c:pt idx="11">
                  <c:v>0.479166666666667</c:v>
                </c:pt>
                <c:pt idx="12">
                  <c:v>0.487837837837838</c:v>
                </c:pt>
                <c:pt idx="13">
                  <c:v>0.498684210526316</c:v>
                </c:pt>
                <c:pt idx="14">
                  <c:v>0.503846153846154</c:v>
                </c:pt>
                <c:pt idx="15">
                  <c:v>0.51125</c:v>
                </c:pt>
                <c:pt idx="16">
                  <c:v>0.508536585365854</c:v>
                </c:pt>
                <c:pt idx="17">
                  <c:v>0.503571428571429</c:v>
                </c:pt>
                <c:pt idx="18">
                  <c:v>0.5</c:v>
                </c:pt>
                <c:pt idx="19">
                  <c:v>0.497727272727273</c:v>
                </c:pt>
                <c:pt idx="20">
                  <c:v>0.491111111111111</c:v>
                </c:pt>
                <c:pt idx="21">
                  <c:v>0.493478260869565</c:v>
                </c:pt>
                <c:pt idx="22">
                  <c:v>0.498936170212766</c:v>
                </c:pt>
                <c:pt idx="23">
                  <c:v>0.508333333333333</c:v>
                </c:pt>
                <c:pt idx="24">
                  <c:v>0.511224489795918</c:v>
                </c:pt>
                <c:pt idx="25">
                  <c:v>0.514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'rule-replace-tr-0.1+1s'!$I$1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'rule-replace-tr-0.1+1s'!$I$2:$I$27</c:f>
              <c:numCache>
                <c:formatCode>General</c:formatCode>
                <c:ptCount val="26"/>
                <c:pt idx="0">
                  <c:v>0.538</c:v>
                </c:pt>
                <c:pt idx="1">
                  <c:v>0.536538461538462</c:v>
                </c:pt>
                <c:pt idx="2">
                  <c:v>0.531481481481481</c:v>
                </c:pt>
                <c:pt idx="3">
                  <c:v>0.528571428571429</c:v>
                </c:pt>
                <c:pt idx="4">
                  <c:v>0.536206896551724</c:v>
                </c:pt>
                <c:pt idx="5">
                  <c:v>0.533333333333333</c:v>
                </c:pt>
                <c:pt idx="6">
                  <c:v>0.535483870967742</c:v>
                </c:pt>
                <c:pt idx="7">
                  <c:v>0.534375</c:v>
                </c:pt>
                <c:pt idx="8">
                  <c:v>0.537878787878788</c:v>
                </c:pt>
                <c:pt idx="9">
                  <c:v>0.538235294117647</c:v>
                </c:pt>
                <c:pt idx="10">
                  <c:v>0.54</c:v>
                </c:pt>
                <c:pt idx="11">
                  <c:v>0.533333333333333</c:v>
                </c:pt>
                <c:pt idx="12">
                  <c:v>0.535135135135135</c:v>
                </c:pt>
                <c:pt idx="13">
                  <c:v>0.536842105263158</c:v>
                </c:pt>
                <c:pt idx="14">
                  <c:v>0.535897435897436</c:v>
                </c:pt>
                <c:pt idx="15">
                  <c:v>0.53375</c:v>
                </c:pt>
                <c:pt idx="16">
                  <c:v>0.535365853658537</c:v>
                </c:pt>
                <c:pt idx="17">
                  <c:v>0.536904761904762</c:v>
                </c:pt>
                <c:pt idx="18">
                  <c:v>0.533720930232558</c:v>
                </c:pt>
                <c:pt idx="19">
                  <c:v>0.532954545454545</c:v>
                </c:pt>
                <c:pt idx="20">
                  <c:v>0.534444444444444</c:v>
                </c:pt>
                <c:pt idx="21">
                  <c:v>0.530434782608696</c:v>
                </c:pt>
                <c:pt idx="22">
                  <c:v>0.528723404255319</c:v>
                </c:pt>
                <c:pt idx="23">
                  <c:v>0.53125</c:v>
                </c:pt>
                <c:pt idx="24">
                  <c:v>0.535714285714286</c:v>
                </c:pt>
                <c:pt idx="25">
                  <c:v>0.536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'rule-replace-tr-0.1+1s'!$J$1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'rule-replace-tr-0.1+1s'!$J$2:$J$27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'rule-replace-tr-0.1+1s'!$K$1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'rule-replace-tr-0.1+1s'!$K$2:$K$27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6959"/>
        <c:axId val="15937391"/>
      </c:lineChart>
      <c:catAx>
        <c:axId val="1594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5937391"/>
        <c:crosses val="autoZero"/>
        <c:auto val="1"/>
        <c:lblAlgn val="ctr"/>
        <c:lblOffset val="100"/>
        <c:tickLblSkip val="3"/>
        <c:noMultiLvlLbl val="0"/>
      </c:catAx>
      <c:valAx>
        <c:axId val="15937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594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'rule-replace-tr-0.01+1s'!$H$1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'rule-replace-tr-0.01+1s'!$H$2:$H$27</c:f>
              <c:numCache>
                <c:formatCode>General</c:formatCode>
                <c:ptCount val="26"/>
                <c:pt idx="0">
                  <c:v>0.442</c:v>
                </c:pt>
                <c:pt idx="1">
                  <c:v>0.453846153846154</c:v>
                </c:pt>
                <c:pt idx="2">
                  <c:v>0.47037037037037</c:v>
                </c:pt>
                <c:pt idx="3">
                  <c:v>0.4875</c:v>
                </c:pt>
                <c:pt idx="4">
                  <c:v>0.491379310344828</c:v>
                </c:pt>
                <c:pt idx="5">
                  <c:v>0.498333333333333</c:v>
                </c:pt>
                <c:pt idx="6">
                  <c:v>0.496774193548387</c:v>
                </c:pt>
                <c:pt idx="7">
                  <c:v>0.4984375</c:v>
                </c:pt>
                <c:pt idx="8">
                  <c:v>0.495454545454545</c:v>
                </c:pt>
                <c:pt idx="9">
                  <c:v>0.485294117647059</c:v>
                </c:pt>
                <c:pt idx="10">
                  <c:v>0.472857142857143</c:v>
                </c:pt>
                <c:pt idx="11">
                  <c:v>0.480555555555556</c:v>
                </c:pt>
                <c:pt idx="12">
                  <c:v>0.491891891891892</c:v>
                </c:pt>
                <c:pt idx="13">
                  <c:v>0.502631578947368</c:v>
                </c:pt>
                <c:pt idx="14">
                  <c:v>0.507692307692308</c:v>
                </c:pt>
                <c:pt idx="15">
                  <c:v>0.5075</c:v>
                </c:pt>
                <c:pt idx="16">
                  <c:v>0.501219512195122</c:v>
                </c:pt>
                <c:pt idx="17">
                  <c:v>0.501190476190476</c:v>
                </c:pt>
                <c:pt idx="18">
                  <c:v>0.501162790697674</c:v>
                </c:pt>
                <c:pt idx="19">
                  <c:v>0.497727272727273</c:v>
                </c:pt>
                <c:pt idx="20">
                  <c:v>0.49</c:v>
                </c:pt>
                <c:pt idx="21">
                  <c:v>0.495652173913044</c:v>
                </c:pt>
                <c:pt idx="22">
                  <c:v>0.50531914893617</c:v>
                </c:pt>
                <c:pt idx="23">
                  <c:v>0.5125</c:v>
                </c:pt>
                <c:pt idx="24">
                  <c:v>0.511224489795918</c:v>
                </c:pt>
                <c:pt idx="25">
                  <c:v>0.513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'rule-replace-tr-0.01+1s'!$I$1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'rule-replace-tr-0.01+1s'!$I$2:$I$27</c:f>
              <c:numCache>
                <c:formatCode>General</c:formatCode>
                <c:ptCount val="26"/>
                <c:pt idx="0">
                  <c:v>0.542</c:v>
                </c:pt>
                <c:pt idx="1">
                  <c:v>0.544230769230769</c:v>
                </c:pt>
                <c:pt idx="2">
                  <c:v>0.540740740740741</c:v>
                </c:pt>
                <c:pt idx="3">
                  <c:v>0.541071428571429</c:v>
                </c:pt>
                <c:pt idx="4">
                  <c:v>0.539655172413793</c:v>
                </c:pt>
                <c:pt idx="5">
                  <c:v>0.545</c:v>
                </c:pt>
                <c:pt idx="6">
                  <c:v>0.548387096774194</c:v>
                </c:pt>
                <c:pt idx="7">
                  <c:v>0.5453125</c:v>
                </c:pt>
                <c:pt idx="8">
                  <c:v>0.551515151515152</c:v>
                </c:pt>
                <c:pt idx="9">
                  <c:v>0.551470588235294</c:v>
                </c:pt>
                <c:pt idx="10">
                  <c:v>0.544285714285714</c:v>
                </c:pt>
                <c:pt idx="11">
                  <c:v>0.545833333333333</c:v>
                </c:pt>
                <c:pt idx="12">
                  <c:v>0.545945945945946</c:v>
                </c:pt>
                <c:pt idx="13">
                  <c:v>0.547368421052632</c:v>
                </c:pt>
                <c:pt idx="14">
                  <c:v>0.55</c:v>
                </c:pt>
                <c:pt idx="15">
                  <c:v>0.54875</c:v>
                </c:pt>
                <c:pt idx="16">
                  <c:v>0.545121951219512</c:v>
                </c:pt>
                <c:pt idx="17">
                  <c:v>0.544047619047619</c:v>
                </c:pt>
                <c:pt idx="18">
                  <c:v>0.546511627906977</c:v>
                </c:pt>
                <c:pt idx="19">
                  <c:v>0.546590909090909</c:v>
                </c:pt>
                <c:pt idx="20">
                  <c:v>0.547777777777778</c:v>
                </c:pt>
                <c:pt idx="21">
                  <c:v>0.551086956521739</c:v>
                </c:pt>
                <c:pt idx="22">
                  <c:v>0.552127659574468</c:v>
                </c:pt>
                <c:pt idx="23">
                  <c:v>0.554166666666667</c:v>
                </c:pt>
                <c:pt idx="24">
                  <c:v>0.553061224489796</c:v>
                </c:pt>
                <c:pt idx="25">
                  <c:v>0.552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'rule-replace-tr-0.01+1s'!$J$1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'rule-replace-tr-0.01+1s'!$J$2:$J$27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'rule-replace-tr-0.01+1s'!$K$1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'rule-replace-tr-0.01+1s'!$G$2:$G$27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'rule-replace-tr-0.01+1s'!$K$2:$K$27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63839"/>
        <c:axId val="16065919"/>
      </c:lineChart>
      <c:catAx>
        <c:axId val="1606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6065919"/>
        <c:crosses val="autoZero"/>
        <c:auto val="1"/>
        <c:lblAlgn val="ctr"/>
        <c:lblOffset val="100"/>
        <c:tickLblSkip val="3"/>
        <c:noMultiLvlLbl val="0"/>
      </c:catAx>
      <c:valAx>
        <c:axId val="1606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606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'rule-replace-tr-0.01+0.1s'!$H$1</c:f>
              <c:strCache>
                <c:ptCount val="1"/>
                <c:pt idx="0">
                  <c:v>FIFO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'rule-replace-tr-0.01+0.1s'!$G$2:$G$27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'rule-replace-tr-0.01+0.1s'!$H$2:$H$27</c:f>
              <c:numCache>
                <c:formatCode>General</c:formatCode>
                <c:ptCount val="26"/>
                <c:pt idx="0">
                  <c:v>0.44</c:v>
                </c:pt>
                <c:pt idx="1">
                  <c:v>0.453846153846154</c:v>
                </c:pt>
                <c:pt idx="2">
                  <c:v>0.474074074074074</c:v>
                </c:pt>
                <c:pt idx="3">
                  <c:v>0.483928571428571</c:v>
                </c:pt>
                <c:pt idx="4">
                  <c:v>0.5</c:v>
                </c:pt>
                <c:pt idx="5">
                  <c:v>0.513333333333333</c:v>
                </c:pt>
                <c:pt idx="6">
                  <c:v>0.520967741935484</c:v>
                </c:pt>
                <c:pt idx="7">
                  <c:v>0.515625</c:v>
                </c:pt>
                <c:pt idx="8">
                  <c:v>0.5</c:v>
                </c:pt>
                <c:pt idx="9">
                  <c:v>0.485294117647059</c:v>
                </c:pt>
                <c:pt idx="10">
                  <c:v>0.471428571428571</c:v>
                </c:pt>
                <c:pt idx="11">
                  <c:v>0.480555555555556</c:v>
                </c:pt>
                <c:pt idx="12">
                  <c:v>0.493243243243243</c:v>
                </c:pt>
                <c:pt idx="13">
                  <c:v>0.502631578947368</c:v>
                </c:pt>
                <c:pt idx="14">
                  <c:v>0.511538461538461</c:v>
                </c:pt>
                <c:pt idx="15">
                  <c:v>0.51875</c:v>
                </c:pt>
                <c:pt idx="16">
                  <c:v>0.525609756097561</c:v>
                </c:pt>
                <c:pt idx="17">
                  <c:v>0.523809523809524</c:v>
                </c:pt>
                <c:pt idx="18">
                  <c:v>0.511627906976744</c:v>
                </c:pt>
                <c:pt idx="19">
                  <c:v>0.5</c:v>
                </c:pt>
                <c:pt idx="20">
                  <c:v>0.488888888888889</c:v>
                </c:pt>
                <c:pt idx="21">
                  <c:v>0.495652173913044</c:v>
                </c:pt>
                <c:pt idx="22">
                  <c:v>0.50531914893617</c:v>
                </c:pt>
                <c:pt idx="23">
                  <c:v>0.511458333333333</c:v>
                </c:pt>
                <c:pt idx="24">
                  <c:v>0.51734693877551</c:v>
                </c:pt>
                <c:pt idx="25">
                  <c:v>0.523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'rule-replace-tr-0.01+0.1s'!$I$1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'rule-replace-tr-0.01+0.1s'!$G$2:$G$27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'rule-replace-tr-0.01+0.1s'!$I$2:$I$27</c:f>
              <c:numCache>
                <c:formatCode>General</c:formatCode>
                <c:ptCount val="26"/>
                <c:pt idx="0">
                  <c:v>0.56</c:v>
                </c:pt>
                <c:pt idx="1">
                  <c:v>0.561538461538462</c:v>
                </c:pt>
                <c:pt idx="2">
                  <c:v>0.564814814814815</c:v>
                </c:pt>
                <c:pt idx="3">
                  <c:v>0.558928571428571</c:v>
                </c:pt>
                <c:pt idx="4">
                  <c:v>0.558620689655172</c:v>
                </c:pt>
                <c:pt idx="5">
                  <c:v>0.561666666666667</c:v>
                </c:pt>
                <c:pt idx="6">
                  <c:v>0.57258064516129</c:v>
                </c:pt>
                <c:pt idx="7">
                  <c:v>0.575</c:v>
                </c:pt>
                <c:pt idx="8">
                  <c:v>0.571212121212121</c:v>
                </c:pt>
                <c:pt idx="9">
                  <c:v>0.572058823529412</c:v>
                </c:pt>
                <c:pt idx="10">
                  <c:v>0.57</c:v>
                </c:pt>
                <c:pt idx="11">
                  <c:v>0.570833333333333</c:v>
                </c:pt>
                <c:pt idx="12">
                  <c:v>0.571621621621622</c:v>
                </c:pt>
                <c:pt idx="13">
                  <c:v>0.569736842105263</c:v>
                </c:pt>
                <c:pt idx="14">
                  <c:v>0.57051282051282</c:v>
                </c:pt>
                <c:pt idx="15">
                  <c:v>0.565</c:v>
                </c:pt>
                <c:pt idx="16">
                  <c:v>0.565853658536585</c:v>
                </c:pt>
                <c:pt idx="17">
                  <c:v>0.56547619047619</c:v>
                </c:pt>
                <c:pt idx="18">
                  <c:v>0.563953488372093</c:v>
                </c:pt>
                <c:pt idx="19">
                  <c:v>0.5625</c:v>
                </c:pt>
                <c:pt idx="20">
                  <c:v>0.565555555555556</c:v>
                </c:pt>
                <c:pt idx="21">
                  <c:v>0.566304347826087</c:v>
                </c:pt>
                <c:pt idx="22">
                  <c:v>0.559574468085106</c:v>
                </c:pt>
                <c:pt idx="23">
                  <c:v>0.559375</c:v>
                </c:pt>
                <c:pt idx="24">
                  <c:v>0.556122448979592</c:v>
                </c:pt>
                <c:pt idx="25">
                  <c:v>0.556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'rule-replace-tr-0.01+0.1s'!$J$1</c:f>
              <c:strCache>
                <c:ptCount val="1"/>
                <c:pt idx="0">
                  <c:v>LFU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'rule-replace-tr-0.01+0.1s'!$G$2:$G$27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'rule-replace-tr-0.01+0.1s'!$J$2:$J$27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'rule-replace-tr-0.01+0.1s'!$K$1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'rule-replace-tr-0.01+0.1s'!$G$2:$G$27</c:f>
              <c:numCache>
                <c:formatCode>General</c:formatCode>
                <c:ptCount val="26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</c:numCache>
            </c:numRef>
          </c:cat>
          <c:val>
            <c:numRef>
              <c:f>'rule-replace-tr-0.01+0.1s'!$K$2:$K$27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79535"/>
        <c:axId val="54479951"/>
      </c:lineChart>
      <c:catAx>
        <c:axId val="5447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4479951"/>
        <c:crosses val="autoZero"/>
        <c:auto val="1"/>
        <c:lblAlgn val="ctr"/>
        <c:lblOffset val="100"/>
        <c:tickLblSkip val="3"/>
        <c:noMultiLvlLbl val="0"/>
      </c:catAx>
      <c:valAx>
        <c:axId val="544799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5447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'auc_line-1'!$H$3:$M$3</c:f>
                <c:numCache>
                  <c:formatCode>General</c:formatCode>
                  <c:ptCount val="6"/>
                  <c:pt idx="0">
                    <c:v>0.005</c:v>
                  </c:pt>
                  <c:pt idx="1">
                    <c:v>0.0395000000000001</c:v>
                  </c:pt>
                  <c:pt idx="2">
                    <c:v>0.0475000000000001</c:v>
                  </c:pt>
                  <c:pt idx="3">
                    <c:v>0</c:v>
                  </c:pt>
                  <c:pt idx="4">
                    <c:v>0.0475</c:v>
                  </c:pt>
                  <c:pt idx="5">
                    <c:v>0.05</c:v>
                  </c:pt>
                </c:numCache>
              </c:numRef>
            </c:plus>
            <c:minus>
              <c:numRef>
                <c:f>'auc_line-1'!$H$4:$M$4</c:f>
                <c:numCache>
                  <c:formatCode>General</c:formatCode>
                  <c:ptCount val="6"/>
                  <c:pt idx="0">
                    <c:v>0.01</c:v>
                  </c:pt>
                  <c:pt idx="1">
                    <c:v>0.0704999999999999</c:v>
                  </c:pt>
                  <c:pt idx="2">
                    <c:v>0.1315</c:v>
                  </c:pt>
                  <c:pt idx="3">
                    <c:v>0.1</c:v>
                  </c:pt>
                  <c:pt idx="4">
                    <c:v>0.1175</c:v>
                  </c:pt>
                  <c:pt idx="5">
                    <c:v>0.0499999999999999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'auc_line-1'!$H$1:$M$1</c:f>
              <c:strCache>
                <c:ptCount val="6"/>
                <c:pt idx="0">
                  <c:v>0.01_fix</c:v>
                </c:pt>
                <c:pt idx="1">
                  <c:v>0.01_rand</c:v>
                </c:pt>
                <c:pt idx="2">
                  <c:v>0-1_fix</c:v>
                </c:pt>
                <c:pt idx="3">
                  <c:v>0-1_rand</c:v>
                </c:pt>
                <c:pt idx="4">
                  <c:v>1_fix</c:v>
                </c:pt>
                <c:pt idx="5">
                  <c:v>1_rand</c:v>
                </c:pt>
              </c:strCache>
            </c:strRef>
          </c:cat>
          <c:val>
            <c:numRef>
              <c:f>'auc_line-1'!$H$2:$M$2</c:f>
              <c:numCache>
                <c:formatCode>General</c:formatCode>
                <c:ptCount val="6"/>
                <c:pt idx="0">
                  <c:v>0.995</c:v>
                </c:pt>
                <c:pt idx="1">
                  <c:v>0.9605</c:v>
                </c:pt>
                <c:pt idx="2">
                  <c:v>0.9425</c:v>
                </c:pt>
                <c:pt idx="3">
                  <c:v>1</c:v>
                </c:pt>
                <c:pt idx="4">
                  <c:v>0.9475</c:v>
                </c:pt>
                <c:pt idx="5">
                  <c:v>0.95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92607"/>
        <c:axId val="1433295519"/>
      </c:barChart>
      <c:catAx>
        <c:axId val="143329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433295519"/>
        <c:crosses val="autoZero"/>
        <c:auto val="1"/>
        <c:lblAlgn val="ctr"/>
        <c:lblOffset val="100"/>
        <c:noMultiLvlLbl val="0"/>
      </c:catAx>
      <c:valAx>
        <c:axId val="1433295519"/>
        <c:scaling>
          <c:orientation val="minMax"/>
          <c:max val="1"/>
          <c:min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43329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25400" cap="sq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cat>
            <c:strRef>
              <c:f>'auc_line-3'!$B$1:$B$9</c:f>
              <c:strCache>
                <c:ptCount val="9"/>
                <c:pt idx="0">
                  <c:v>70/30</c:v>
                </c:pt>
                <c:pt idx="1">
                  <c:v>65/35</c:v>
                </c:pt>
                <c:pt idx="2">
                  <c:v>60/40</c:v>
                </c:pt>
                <c:pt idx="3">
                  <c:v>55/45</c:v>
                </c:pt>
                <c:pt idx="4">
                  <c:v>50/50</c:v>
                </c:pt>
                <c:pt idx="5">
                  <c:v>45/55</c:v>
                </c:pt>
                <c:pt idx="6">
                  <c:v>40/60</c:v>
                </c:pt>
                <c:pt idx="7">
                  <c:v>35/65</c:v>
                </c:pt>
                <c:pt idx="8">
                  <c:v>30/70</c:v>
                </c:pt>
              </c:strCache>
            </c:strRef>
          </c:cat>
          <c:val>
            <c:numRef>
              <c:f>'auc_line-3'!$C$1:$C$9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0.3</c:v>
                </c:pt>
                <c:pt idx="3">
                  <c:v>0.35</c:v>
                </c:pt>
                <c:pt idx="4">
                  <c:v>0.45</c:v>
                </c:pt>
                <c:pt idx="5">
                  <c:v>0.6</c:v>
                </c:pt>
                <c:pt idx="6">
                  <c:v>0.7</c:v>
                </c:pt>
                <c:pt idx="7">
                  <c:v>0.85</c:v>
                </c:pt>
                <c:pt idx="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095088"/>
        <c:axId val="1679093424"/>
      </c:barChart>
      <c:catAx>
        <c:axId val="167909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679093424"/>
        <c:crosses val="autoZero"/>
        <c:auto val="1"/>
        <c:lblAlgn val="ctr"/>
        <c:lblOffset val="100"/>
        <c:noMultiLvlLbl val="0"/>
      </c:catAx>
      <c:valAx>
        <c:axId val="1679093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67909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25400" cap="sq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cat>
            <c:strRef>
              <c:f>'auc_line-3'!$F$1:$F$9</c:f>
              <c:strCache>
                <c:ptCount val="9"/>
                <c:pt idx="0">
                  <c:v>70/30</c:v>
                </c:pt>
                <c:pt idx="1">
                  <c:v>65/35</c:v>
                </c:pt>
                <c:pt idx="2">
                  <c:v>60/40</c:v>
                </c:pt>
                <c:pt idx="3">
                  <c:v>55/45</c:v>
                </c:pt>
                <c:pt idx="4">
                  <c:v>50/50</c:v>
                </c:pt>
                <c:pt idx="5">
                  <c:v>45/55</c:v>
                </c:pt>
                <c:pt idx="6">
                  <c:v>40/60</c:v>
                </c:pt>
                <c:pt idx="7">
                  <c:v>35/65</c:v>
                </c:pt>
                <c:pt idx="8">
                  <c:v>30/70</c:v>
                </c:pt>
              </c:strCache>
            </c:strRef>
          </c:cat>
          <c:val>
            <c:numRef>
              <c:f>'auc_line-3'!$G$1:$G$9</c:f>
              <c:numCache>
                <c:formatCode>General</c:formatCode>
                <c:ptCount val="9"/>
                <c:pt idx="0">
                  <c:v>0.15</c:v>
                </c:pt>
                <c:pt idx="1">
                  <c:v>0.15</c:v>
                </c:pt>
                <c:pt idx="2">
                  <c:v>0.45</c:v>
                </c:pt>
                <c:pt idx="3">
                  <c:v>0.65</c:v>
                </c:pt>
                <c:pt idx="4">
                  <c:v>0.75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168544"/>
        <c:axId val="1746172704"/>
      </c:barChart>
      <c:catAx>
        <c:axId val="174616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746172704"/>
        <c:crosses val="autoZero"/>
        <c:auto val="1"/>
        <c:lblAlgn val="ctr"/>
        <c:lblOffset val="100"/>
        <c:noMultiLvlLbl val="0"/>
      </c:catAx>
      <c:valAx>
        <c:axId val="1746172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74616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</xdr:colOff>
      <xdr:row>8</xdr:row>
      <xdr:rowOff>180974</xdr:rowOff>
    </xdr:from>
    <xdr:to>
      <xdr:col>9</xdr:col>
      <xdr:colOff>9525</xdr:colOff>
      <xdr:row>21</xdr:row>
      <xdr:rowOff>28574</xdr:rowOff>
    </xdr:to>
    <xdr:graphicFrame>
      <xdr:nvGraphicFramePr>
        <xdr:cNvPr id="2" name="图表 1"/>
        <xdr:cNvGraphicFramePr/>
      </xdr:nvGraphicFramePr>
      <xdr:xfrm>
        <a:off x="3543300" y="1600200"/>
        <a:ext cx="3209925" cy="2161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676275</xdr:colOff>
      <xdr:row>2</xdr:row>
      <xdr:rowOff>4762</xdr:rowOff>
    </xdr:from>
    <xdr:to>
      <xdr:col>8</xdr:col>
      <xdr:colOff>371475</xdr:colOff>
      <xdr:row>16</xdr:row>
      <xdr:rowOff>0</xdr:rowOff>
    </xdr:to>
    <xdr:graphicFrame>
      <xdr:nvGraphicFramePr>
        <xdr:cNvPr id="2" name="图表 1"/>
        <xdr:cNvGraphicFramePr/>
      </xdr:nvGraphicFramePr>
      <xdr:xfrm>
        <a:off x="2047875" y="360045"/>
        <a:ext cx="3810000" cy="2484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4762</xdr:colOff>
      <xdr:row>8</xdr:row>
      <xdr:rowOff>9525</xdr:rowOff>
    </xdr:from>
    <xdr:to>
      <xdr:col>11</xdr:col>
      <xdr:colOff>276225</xdr:colOff>
      <xdr:row>21</xdr:row>
      <xdr:rowOff>0</xdr:rowOff>
    </xdr:to>
    <xdr:graphicFrame>
      <xdr:nvGraphicFramePr>
        <xdr:cNvPr id="2" name="图表 1"/>
        <xdr:cNvGraphicFramePr/>
      </xdr:nvGraphicFramePr>
      <xdr:xfrm>
        <a:off x="4119245" y="1431925"/>
        <a:ext cx="4157980" cy="2301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14287</xdr:colOff>
      <xdr:row>99</xdr:row>
      <xdr:rowOff>0</xdr:rowOff>
    </xdr:from>
    <xdr:to>
      <xdr:col>8</xdr:col>
      <xdr:colOff>333375</xdr:colOff>
      <xdr:row>112</xdr:row>
      <xdr:rowOff>171450</xdr:rowOff>
    </xdr:to>
    <xdr:graphicFrame>
      <xdr:nvGraphicFramePr>
        <xdr:cNvPr id="2" name="图表 1"/>
        <xdr:cNvGraphicFramePr/>
      </xdr:nvGraphicFramePr>
      <xdr:xfrm>
        <a:off x="2071370" y="17602200"/>
        <a:ext cx="3748405" cy="2482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28</xdr:row>
      <xdr:rowOff>1</xdr:rowOff>
    </xdr:from>
    <xdr:to>
      <xdr:col>9</xdr:col>
      <xdr:colOff>9525</xdr:colOff>
      <xdr:row>40</xdr:row>
      <xdr:rowOff>1</xdr:rowOff>
    </xdr:to>
    <xdr:graphicFrame>
      <xdr:nvGraphicFramePr>
        <xdr:cNvPr id="4" name="图表 3"/>
        <xdr:cNvGraphicFramePr/>
      </xdr:nvGraphicFramePr>
      <xdr:xfrm>
        <a:off x="3429000" y="4978400"/>
        <a:ext cx="2752725" cy="213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</xdr:colOff>
      <xdr:row>28</xdr:row>
      <xdr:rowOff>14287</xdr:rowOff>
    </xdr:from>
    <xdr:to>
      <xdr:col>8</xdr:col>
      <xdr:colOff>0</xdr:colOff>
      <xdr:row>40</xdr:row>
      <xdr:rowOff>0</xdr:rowOff>
    </xdr:to>
    <xdr:graphicFrame>
      <xdr:nvGraphicFramePr>
        <xdr:cNvPr id="3" name="图表 2"/>
        <xdr:cNvGraphicFramePr/>
      </xdr:nvGraphicFramePr>
      <xdr:xfrm>
        <a:off x="2747645" y="4992370"/>
        <a:ext cx="2738755" cy="211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</xdr:colOff>
      <xdr:row>29</xdr:row>
      <xdr:rowOff>14287</xdr:rowOff>
    </xdr:from>
    <xdr:to>
      <xdr:col>8</xdr:col>
      <xdr:colOff>0</xdr:colOff>
      <xdr:row>41</xdr:row>
      <xdr:rowOff>0</xdr:rowOff>
    </xdr:to>
    <xdr:graphicFrame>
      <xdr:nvGraphicFramePr>
        <xdr:cNvPr id="3" name="图表 2"/>
        <xdr:cNvGraphicFramePr/>
      </xdr:nvGraphicFramePr>
      <xdr:xfrm>
        <a:off x="2747645" y="5170170"/>
        <a:ext cx="2738755" cy="211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681037</xdr:colOff>
      <xdr:row>28</xdr:row>
      <xdr:rowOff>176212</xdr:rowOff>
    </xdr:from>
    <xdr:to>
      <xdr:col>8</xdr:col>
      <xdr:colOff>0</xdr:colOff>
      <xdr:row>41</xdr:row>
      <xdr:rowOff>0</xdr:rowOff>
    </xdr:to>
    <xdr:graphicFrame>
      <xdr:nvGraphicFramePr>
        <xdr:cNvPr id="3" name="图表 2"/>
        <xdr:cNvGraphicFramePr/>
      </xdr:nvGraphicFramePr>
      <xdr:xfrm>
        <a:off x="2738120" y="5154295"/>
        <a:ext cx="2748280" cy="2135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</xdr:colOff>
      <xdr:row>28</xdr:row>
      <xdr:rowOff>4762</xdr:rowOff>
    </xdr:from>
    <xdr:to>
      <xdr:col>8</xdr:col>
      <xdr:colOff>0</xdr:colOff>
      <xdr:row>40</xdr:row>
      <xdr:rowOff>0</xdr:rowOff>
    </xdr:to>
    <xdr:graphicFrame>
      <xdr:nvGraphicFramePr>
        <xdr:cNvPr id="2" name="图表 1"/>
        <xdr:cNvGraphicFramePr/>
      </xdr:nvGraphicFramePr>
      <xdr:xfrm>
        <a:off x="2747645" y="4982845"/>
        <a:ext cx="2738755" cy="2129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</xdr:colOff>
      <xdr:row>28</xdr:row>
      <xdr:rowOff>4762</xdr:rowOff>
    </xdr:from>
    <xdr:to>
      <xdr:col>8</xdr:col>
      <xdr:colOff>0</xdr:colOff>
      <xdr:row>40</xdr:row>
      <xdr:rowOff>0</xdr:rowOff>
    </xdr:to>
    <xdr:graphicFrame>
      <xdr:nvGraphicFramePr>
        <xdr:cNvPr id="3" name="图表 2"/>
        <xdr:cNvGraphicFramePr/>
      </xdr:nvGraphicFramePr>
      <xdr:xfrm>
        <a:off x="2747645" y="4982845"/>
        <a:ext cx="2738755" cy="2129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</xdr:colOff>
      <xdr:row>28</xdr:row>
      <xdr:rowOff>14287</xdr:rowOff>
    </xdr:from>
    <xdr:to>
      <xdr:col>8</xdr:col>
      <xdr:colOff>0</xdr:colOff>
      <xdr:row>40</xdr:row>
      <xdr:rowOff>0</xdr:rowOff>
    </xdr:to>
    <xdr:graphicFrame>
      <xdr:nvGraphicFramePr>
        <xdr:cNvPr id="3" name="图表 2"/>
        <xdr:cNvGraphicFramePr/>
      </xdr:nvGraphicFramePr>
      <xdr:xfrm>
        <a:off x="2747645" y="4992370"/>
        <a:ext cx="2738755" cy="211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14287</xdr:colOff>
      <xdr:row>28</xdr:row>
      <xdr:rowOff>14287</xdr:rowOff>
    </xdr:from>
    <xdr:to>
      <xdr:col>8</xdr:col>
      <xdr:colOff>0</xdr:colOff>
      <xdr:row>40</xdr:row>
      <xdr:rowOff>0</xdr:rowOff>
    </xdr:to>
    <xdr:graphicFrame>
      <xdr:nvGraphicFramePr>
        <xdr:cNvPr id="3" name="图表 2"/>
        <xdr:cNvGraphicFramePr/>
      </xdr:nvGraphicFramePr>
      <xdr:xfrm>
        <a:off x="2757170" y="4992370"/>
        <a:ext cx="3005455" cy="211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681037</xdr:colOff>
      <xdr:row>28</xdr:row>
      <xdr:rowOff>4762</xdr:rowOff>
    </xdr:from>
    <xdr:to>
      <xdr:col>7</xdr:col>
      <xdr:colOff>676275</xdr:colOff>
      <xdr:row>40</xdr:row>
      <xdr:rowOff>0</xdr:rowOff>
    </xdr:to>
    <xdr:graphicFrame>
      <xdr:nvGraphicFramePr>
        <xdr:cNvPr id="3" name="图表 2"/>
        <xdr:cNvGraphicFramePr/>
      </xdr:nvGraphicFramePr>
      <xdr:xfrm>
        <a:off x="2738120" y="4982845"/>
        <a:ext cx="2738755" cy="2129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</xdr:colOff>
      <xdr:row>28</xdr:row>
      <xdr:rowOff>14287</xdr:rowOff>
    </xdr:from>
    <xdr:to>
      <xdr:col>8</xdr:col>
      <xdr:colOff>0</xdr:colOff>
      <xdr:row>40</xdr:row>
      <xdr:rowOff>0</xdr:rowOff>
    </xdr:to>
    <xdr:graphicFrame>
      <xdr:nvGraphicFramePr>
        <xdr:cNvPr id="3" name="图表 2"/>
        <xdr:cNvGraphicFramePr/>
      </xdr:nvGraphicFramePr>
      <xdr:xfrm>
        <a:off x="2747645" y="4992370"/>
        <a:ext cx="2738755" cy="211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14287</xdr:colOff>
      <xdr:row>29</xdr:row>
      <xdr:rowOff>4762</xdr:rowOff>
    </xdr:from>
    <xdr:to>
      <xdr:col>7</xdr:col>
      <xdr:colOff>0</xdr:colOff>
      <xdr:row>41</xdr:row>
      <xdr:rowOff>0</xdr:rowOff>
    </xdr:to>
    <xdr:graphicFrame>
      <xdr:nvGraphicFramePr>
        <xdr:cNvPr id="2" name="图表 1"/>
        <xdr:cNvGraphicFramePr/>
      </xdr:nvGraphicFramePr>
      <xdr:xfrm>
        <a:off x="2071370" y="5160645"/>
        <a:ext cx="2729230" cy="2129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</xdr:colOff>
      <xdr:row>28</xdr:row>
      <xdr:rowOff>14287</xdr:rowOff>
    </xdr:from>
    <xdr:to>
      <xdr:col>7</xdr:col>
      <xdr:colOff>676275</xdr:colOff>
      <xdr:row>40</xdr:row>
      <xdr:rowOff>0</xdr:rowOff>
    </xdr:to>
    <xdr:graphicFrame>
      <xdr:nvGraphicFramePr>
        <xdr:cNvPr id="3" name="图表 2"/>
        <xdr:cNvGraphicFramePr/>
      </xdr:nvGraphicFramePr>
      <xdr:xfrm>
        <a:off x="2747645" y="4992370"/>
        <a:ext cx="2729230" cy="211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9524</xdr:colOff>
      <xdr:row>7</xdr:row>
      <xdr:rowOff>14287</xdr:rowOff>
    </xdr:from>
    <xdr:to>
      <xdr:col>11</xdr:col>
      <xdr:colOff>685799</xdr:colOff>
      <xdr:row>19</xdr:row>
      <xdr:rowOff>9525</xdr:rowOff>
    </xdr:to>
    <xdr:graphicFrame>
      <xdr:nvGraphicFramePr>
        <xdr:cNvPr id="2" name="图表 1"/>
        <xdr:cNvGraphicFramePr/>
      </xdr:nvGraphicFramePr>
      <xdr:xfrm>
        <a:off x="4809490" y="1258570"/>
        <a:ext cx="3419475" cy="2129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685799</xdr:colOff>
      <xdr:row>11</xdr:row>
      <xdr:rowOff>0</xdr:rowOff>
    </xdr:from>
    <xdr:to>
      <xdr:col>5</xdr:col>
      <xdr:colOff>676274</xdr:colOff>
      <xdr:row>22</xdr:row>
      <xdr:rowOff>0</xdr:rowOff>
    </xdr:to>
    <xdr:graphicFrame>
      <xdr:nvGraphicFramePr>
        <xdr:cNvPr id="3" name="图表 2"/>
        <xdr:cNvGraphicFramePr/>
      </xdr:nvGraphicFramePr>
      <xdr:xfrm>
        <a:off x="685165" y="1955800"/>
        <a:ext cx="3419475" cy="195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</xdr:colOff>
      <xdr:row>10</xdr:row>
      <xdr:rowOff>1</xdr:rowOff>
    </xdr:from>
    <xdr:to>
      <xdr:col>12</xdr:col>
      <xdr:colOff>0</xdr:colOff>
      <xdr:row>22</xdr:row>
      <xdr:rowOff>1</xdr:rowOff>
    </xdr:to>
    <xdr:graphicFrame>
      <xdr:nvGraphicFramePr>
        <xdr:cNvPr id="4" name="图表 3"/>
        <xdr:cNvGraphicFramePr/>
      </xdr:nvGraphicFramePr>
      <xdr:xfrm>
        <a:off x="4814570" y="1778000"/>
        <a:ext cx="3415030" cy="213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L23" sqref="L23"/>
    </sheetView>
  </sheetViews>
  <sheetFormatPr defaultColWidth="9" defaultRowHeight="14"/>
  <cols>
    <col min="3" max="3" width="10.5"/>
    <col min="6" max="6" width="9.375"/>
    <col min="7" max="8" width="10.5"/>
    <col min="9" max="9" width="11.625"/>
  </cols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>
      <c r="A2">
        <v>3.078841</v>
      </c>
      <c r="B2">
        <v>44.246824</v>
      </c>
      <c r="C2">
        <v>65.387507</v>
      </c>
      <c r="D2">
        <v>70.94616</v>
      </c>
      <c r="E2" t="s">
        <v>4</v>
      </c>
      <c r="F2">
        <f>MEDIAN(A2:A11)</f>
        <v>3.338354</v>
      </c>
      <c r="G2">
        <f>MEDIAN(B2:B11)</f>
        <v>50.490527</v>
      </c>
      <c r="H2">
        <f>MEDIAN(C2:C11)</f>
        <v>62.434171</v>
      </c>
      <c r="I2">
        <f>MEDIAN(D2:D11)</f>
        <v>76.2404445</v>
      </c>
    </row>
    <row r="3" spans="1:9">
      <c r="A3">
        <v>3.411325</v>
      </c>
      <c r="B3">
        <v>53.179858</v>
      </c>
      <c r="C3">
        <v>40.30879</v>
      </c>
      <c r="D3">
        <v>40.464501</v>
      </c>
      <c r="E3" t="s">
        <v>5</v>
      </c>
      <c r="F3">
        <f>MAX(A2:A11)-F2</f>
        <v>0.334077</v>
      </c>
      <c r="G3">
        <f>MAX(B2:B11)-G2</f>
        <v>11.747555</v>
      </c>
      <c r="H3">
        <f>MAX(C2:C11)-H2</f>
        <v>12.764158</v>
      </c>
      <c r="I3">
        <f>MAX(D2:D11)-I2</f>
        <v>26.1842605</v>
      </c>
    </row>
    <row r="4" spans="1:9">
      <c r="A4">
        <v>3.305306</v>
      </c>
      <c r="B4">
        <v>47.517206</v>
      </c>
      <c r="C4">
        <v>75.198329</v>
      </c>
      <c r="D4">
        <v>88.499539</v>
      </c>
      <c r="E4" t="s">
        <v>6</v>
      </c>
      <c r="F4">
        <f>F2-MIN(A2:A11)</f>
        <v>0.316319</v>
      </c>
      <c r="G4">
        <f>G2-MIN(B2:B11)</f>
        <v>8.057556</v>
      </c>
      <c r="H4">
        <f>H2-MIN(C2:C11)</f>
        <v>27.246555</v>
      </c>
      <c r="I4">
        <f>I2-MIN(D2:D11)</f>
        <v>36.5028125</v>
      </c>
    </row>
    <row r="5" spans="1:4">
      <c r="A5">
        <v>3.409293</v>
      </c>
      <c r="B5">
        <v>49.549389</v>
      </c>
      <c r="C5">
        <v>35.187616</v>
      </c>
      <c r="D5">
        <v>69.876844</v>
      </c>
    </row>
    <row r="6" spans="1:4">
      <c r="A6">
        <v>3.256918</v>
      </c>
      <c r="B6">
        <v>62.238082</v>
      </c>
      <c r="C6">
        <v>63.390306</v>
      </c>
      <c r="D6">
        <v>39.737632</v>
      </c>
    </row>
    <row r="7" spans="1:4">
      <c r="A7">
        <v>3.371402</v>
      </c>
      <c r="B7">
        <v>51.431665</v>
      </c>
      <c r="C7">
        <v>56.570852</v>
      </c>
      <c r="D7">
        <v>87.78456</v>
      </c>
    </row>
    <row r="8" spans="1:4">
      <c r="A8">
        <v>3.022035</v>
      </c>
      <c r="B8">
        <v>43.356939</v>
      </c>
      <c r="C8">
        <v>62.575616</v>
      </c>
      <c r="D8">
        <v>98.161587</v>
      </c>
    </row>
    <row r="9" spans="1:4">
      <c r="A9">
        <v>3.4093</v>
      </c>
      <c r="B9">
        <v>42.432971</v>
      </c>
      <c r="C9">
        <v>62.292726</v>
      </c>
      <c r="D9">
        <v>59.58796</v>
      </c>
    </row>
    <row r="10" spans="1:4">
      <c r="A10">
        <v>3.190929</v>
      </c>
      <c r="B10">
        <v>51.466115</v>
      </c>
      <c r="C10">
        <v>51.62754</v>
      </c>
      <c r="D10">
        <v>102.424705</v>
      </c>
    </row>
    <row r="11" spans="1:4">
      <c r="A11">
        <v>3.672431</v>
      </c>
      <c r="B11">
        <v>51.524726</v>
      </c>
      <c r="C11">
        <v>73.167958</v>
      </c>
      <c r="D11">
        <v>81.534729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I25" sqref="I25"/>
    </sheetView>
  </sheetViews>
  <sheetFormatPr defaultColWidth="9" defaultRowHeight="14" outlineLevelCol="1"/>
  <sheetData>
    <row r="1" spans="1:2">
      <c r="A1" t="s">
        <v>0</v>
      </c>
      <c r="B1" t="s">
        <v>7</v>
      </c>
    </row>
    <row r="2" spans="1:2">
      <c r="A2">
        <v>14</v>
      </c>
      <c r="B2">
        <v>14</v>
      </c>
    </row>
    <row r="3" spans="1:2">
      <c r="A3">
        <v>8520</v>
      </c>
      <c r="B3">
        <v>14</v>
      </c>
    </row>
    <row r="4" spans="1:2">
      <c r="A4">
        <v>15323</v>
      </c>
      <c r="B4">
        <v>5287</v>
      </c>
    </row>
    <row r="5" spans="1:2">
      <c r="A5">
        <v>5075</v>
      </c>
      <c r="B5">
        <v>4276</v>
      </c>
    </row>
    <row r="6" spans="1:2">
      <c r="A6">
        <v>3353</v>
      </c>
      <c r="B6">
        <v>22</v>
      </c>
    </row>
    <row r="7" spans="1:2">
      <c r="A7">
        <v>11378</v>
      </c>
      <c r="B7">
        <v>22</v>
      </c>
    </row>
    <row r="8" spans="1:2">
      <c r="A8">
        <v>14500</v>
      </c>
      <c r="B8">
        <v>20</v>
      </c>
    </row>
    <row r="9" spans="1:2">
      <c r="A9">
        <v>233</v>
      </c>
      <c r="B9">
        <v>1649</v>
      </c>
    </row>
    <row r="10" spans="1:2">
      <c r="A10">
        <v>7715</v>
      </c>
      <c r="B10">
        <v>4786</v>
      </c>
    </row>
    <row r="11" spans="1:2">
      <c r="A11">
        <v>13135</v>
      </c>
      <c r="B11">
        <v>4865</v>
      </c>
    </row>
    <row r="12" spans="1:2">
      <c r="A12">
        <v>7620</v>
      </c>
      <c r="B12">
        <v>5310</v>
      </c>
    </row>
    <row r="13" spans="1:2">
      <c r="A13">
        <v>5995</v>
      </c>
      <c r="B13">
        <v>4213</v>
      </c>
    </row>
    <row r="14" spans="1:2">
      <c r="A14">
        <v>13915</v>
      </c>
      <c r="B14">
        <v>4359</v>
      </c>
    </row>
    <row r="15" spans="1:2">
      <c r="A15">
        <v>4106</v>
      </c>
      <c r="B15">
        <v>5242</v>
      </c>
    </row>
    <row r="16" spans="1:2">
      <c r="A16">
        <v>270</v>
      </c>
      <c r="B16">
        <v>4044</v>
      </c>
    </row>
    <row r="17" spans="1:2">
      <c r="A17">
        <v>10956</v>
      </c>
      <c r="B17">
        <v>4704</v>
      </c>
    </row>
    <row r="18" spans="1:2">
      <c r="A18">
        <v>13525</v>
      </c>
      <c r="B18">
        <v>5334</v>
      </c>
    </row>
    <row r="19" spans="1:2">
      <c r="A19">
        <v>5253</v>
      </c>
      <c r="B19">
        <v>4750</v>
      </c>
    </row>
    <row r="20" spans="1:2">
      <c r="A20">
        <v>6042</v>
      </c>
      <c r="B20">
        <v>5285</v>
      </c>
    </row>
    <row r="21" spans="1:2">
      <c r="A21">
        <v>11265</v>
      </c>
      <c r="B21">
        <v>4782</v>
      </c>
    </row>
    <row r="22" spans="1:2">
      <c r="A22">
        <v>14556</v>
      </c>
      <c r="B22">
        <v>5471</v>
      </c>
    </row>
    <row r="23" spans="1:2">
      <c r="A23">
        <v>563</v>
      </c>
      <c r="B23">
        <v>3868</v>
      </c>
    </row>
    <row r="24" spans="1:2">
      <c r="A24">
        <v>9784</v>
      </c>
      <c r="B24">
        <v>4891</v>
      </c>
    </row>
    <row r="25" spans="1:2">
      <c r="A25">
        <v>12217</v>
      </c>
      <c r="B25">
        <v>4426</v>
      </c>
    </row>
    <row r="26" spans="1:2">
      <c r="A26">
        <v>4789</v>
      </c>
      <c r="B26">
        <v>4544</v>
      </c>
    </row>
    <row r="27" spans="1:2">
      <c r="A27">
        <v>3371</v>
      </c>
      <c r="B27">
        <v>4635</v>
      </c>
    </row>
    <row r="28" spans="1:2">
      <c r="A28">
        <v>11249</v>
      </c>
      <c r="B28">
        <v>5135</v>
      </c>
    </row>
    <row r="29" spans="1:2">
      <c r="A29">
        <v>13272</v>
      </c>
      <c r="B29">
        <v>4726</v>
      </c>
    </row>
    <row r="30" spans="1:2">
      <c r="A30">
        <v>3031</v>
      </c>
      <c r="B30">
        <v>4875</v>
      </c>
    </row>
    <row r="31" spans="1:2">
      <c r="A31">
        <v>11650</v>
      </c>
      <c r="B31">
        <v>4152</v>
      </c>
    </row>
    <row r="32" spans="1:2">
      <c r="A32">
        <v>12870</v>
      </c>
      <c r="B32">
        <v>4416</v>
      </c>
    </row>
    <row r="33" spans="1:2">
      <c r="A33">
        <v>20</v>
      </c>
      <c r="B33">
        <v>4212</v>
      </c>
    </row>
    <row r="34" spans="1:2">
      <c r="A34">
        <v>3010</v>
      </c>
      <c r="B34">
        <v>4663</v>
      </c>
    </row>
    <row r="35" spans="1:2">
      <c r="A35">
        <v>12086</v>
      </c>
      <c r="B35">
        <v>4984</v>
      </c>
    </row>
    <row r="36" spans="1:2">
      <c r="A36">
        <v>13211</v>
      </c>
      <c r="B36">
        <v>4006</v>
      </c>
    </row>
    <row r="37" spans="1:2">
      <c r="A37">
        <v>2430</v>
      </c>
      <c r="B37">
        <v>5645</v>
      </c>
    </row>
    <row r="38" spans="1:2">
      <c r="A38">
        <v>8678</v>
      </c>
      <c r="B38">
        <v>5693</v>
      </c>
    </row>
    <row r="39" spans="1:2">
      <c r="A39">
        <v>13315</v>
      </c>
      <c r="B39">
        <v>4474</v>
      </c>
    </row>
    <row r="40" spans="1:2">
      <c r="A40">
        <v>1096</v>
      </c>
      <c r="B40">
        <v>4776</v>
      </c>
    </row>
    <row r="41" spans="1:2">
      <c r="A41">
        <v>7894</v>
      </c>
      <c r="B41">
        <v>5853</v>
      </c>
    </row>
    <row r="42" spans="1:2">
      <c r="A42">
        <v>12044</v>
      </c>
      <c r="B42">
        <v>5179</v>
      </c>
    </row>
    <row r="43" spans="1:2">
      <c r="A43">
        <v>9584</v>
      </c>
      <c r="B43">
        <v>5443</v>
      </c>
    </row>
    <row r="44" spans="1:2">
      <c r="A44">
        <v>766</v>
      </c>
      <c r="B44">
        <v>5532</v>
      </c>
    </row>
    <row r="45" spans="1:2">
      <c r="A45">
        <v>8431</v>
      </c>
      <c r="B45">
        <v>5286</v>
      </c>
    </row>
    <row r="46" spans="1:2">
      <c r="A46">
        <v>13051</v>
      </c>
      <c r="B46">
        <v>4774</v>
      </c>
    </row>
    <row r="47" spans="1:2">
      <c r="A47">
        <v>8892</v>
      </c>
      <c r="B47">
        <v>6245</v>
      </c>
    </row>
    <row r="48" spans="1:2">
      <c r="A48">
        <v>7726</v>
      </c>
      <c r="B48">
        <v>5757</v>
      </c>
    </row>
    <row r="49" spans="1:2">
      <c r="A49">
        <v>11844</v>
      </c>
      <c r="B49">
        <v>4939</v>
      </c>
    </row>
    <row r="50" spans="1:2">
      <c r="A50">
        <v>6804</v>
      </c>
      <c r="B50">
        <v>5074</v>
      </c>
    </row>
    <row r="51" spans="1:2">
      <c r="A51">
        <v>670</v>
      </c>
      <c r="B51">
        <v>5364</v>
      </c>
    </row>
    <row r="52" spans="1:2">
      <c r="A52">
        <v>10082</v>
      </c>
      <c r="B52">
        <v>5434</v>
      </c>
    </row>
    <row r="53" spans="1:2">
      <c r="A53">
        <v>13277</v>
      </c>
      <c r="B53">
        <v>5050</v>
      </c>
    </row>
    <row r="54" spans="1:2">
      <c r="A54">
        <v>6731</v>
      </c>
      <c r="B54">
        <v>6111</v>
      </c>
    </row>
    <row r="55" spans="1:2">
      <c r="A55">
        <v>8174</v>
      </c>
      <c r="B55">
        <v>6153</v>
      </c>
    </row>
    <row r="56" spans="1:2">
      <c r="A56">
        <v>12750</v>
      </c>
      <c r="B56">
        <v>5140</v>
      </c>
    </row>
    <row r="57" spans="1:2">
      <c r="A57">
        <v>2505</v>
      </c>
      <c r="B57">
        <v>5598</v>
      </c>
    </row>
    <row r="58" spans="1:2">
      <c r="A58">
        <v>794</v>
      </c>
      <c r="B58">
        <v>4939</v>
      </c>
    </row>
    <row r="59" spans="1:2">
      <c r="A59">
        <v>9600</v>
      </c>
      <c r="B59">
        <v>4532</v>
      </c>
    </row>
    <row r="60" spans="1:2">
      <c r="A60">
        <v>13280</v>
      </c>
      <c r="B60">
        <v>6307</v>
      </c>
    </row>
    <row r="61" spans="1:2">
      <c r="A61">
        <v>6885</v>
      </c>
      <c r="B61">
        <v>6178</v>
      </c>
    </row>
    <row r="62" spans="1:2">
      <c r="A62">
        <v>5493</v>
      </c>
      <c r="B62">
        <v>4617</v>
      </c>
    </row>
    <row r="63" spans="1:2">
      <c r="A63">
        <v>11224</v>
      </c>
      <c r="B63">
        <v>5093</v>
      </c>
    </row>
    <row r="64" spans="1:2">
      <c r="A64">
        <v>11786</v>
      </c>
      <c r="B64">
        <v>5676</v>
      </c>
    </row>
    <row r="65" spans="1:2">
      <c r="A65">
        <v>714</v>
      </c>
      <c r="B65">
        <v>5803</v>
      </c>
    </row>
    <row r="66" spans="1:2">
      <c r="A66">
        <v>9389</v>
      </c>
      <c r="B66">
        <v>4671</v>
      </c>
    </row>
    <row r="67" spans="1:2">
      <c r="A67">
        <v>12381</v>
      </c>
      <c r="B67">
        <v>5480</v>
      </c>
    </row>
    <row r="68" spans="1:2">
      <c r="A68">
        <v>4697</v>
      </c>
      <c r="B68">
        <v>5987</v>
      </c>
    </row>
    <row r="69" spans="1:2">
      <c r="A69">
        <v>8880</v>
      </c>
      <c r="B69">
        <v>4953</v>
      </c>
    </row>
    <row r="70" spans="1:2">
      <c r="A70">
        <v>13585</v>
      </c>
      <c r="B70">
        <v>5041</v>
      </c>
    </row>
    <row r="71" spans="1:2">
      <c r="A71">
        <v>7826</v>
      </c>
      <c r="B71">
        <v>6564</v>
      </c>
    </row>
    <row r="72" spans="1:2">
      <c r="A72">
        <v>1963</v>
      </c>
      <c r="B72">
        <v>4789</v>
      </c>
    </row>
    <row r="73" spans="1:2">
      <c r="A73">
        <v>10252</v>
      </c>
      <c r="B73">
        <v>5687</v>
      </c>
    </row>
    <row r="74" spans="1:2">
      <c r="A74">
        <v>12722</v>
      </c>
      <c r="B74">
        <v>6356</v>
      </c>
    </row>
    <row r="75" spans="1:2">
      <c r="A75">
        <v>6492</v>
      </c>
      <c r="B75">
        <v>5553</v>
      </c>
    </row>
    <row r="76" spans="1:2">
      <c r="A76">
        <v>7084</v>
      </c>
      <c r="B76">
        <v>4867</v>
      </c>
    </row>
    <row r="77" spans="1:2">
      <c r="A77">
        <v>12476</v>
      </c>
      <c r="B77">
        <v>6215</v>
      </c>
    </row>
    <row r="78" spans="1:2">
      <c r="A78">
        <v>11048</v>
      </c>
      <c r="B78">
        <v>5966</v>
      </c>
    </row>
    <row r="79" spans="1:2">
      <c r="A79">
        <v>1224</v>
      </c>
      <c r="B79">
        <v>4913</v>
      </c>
    </row>
    <row r="80" spans="1:2">
      <c r="A80">
        <v>8634</v>
      </c>
      <c r="B80">
        <v>5376</v>
      </c>
    </row>
    <row r="81" spans="1:2">
      <c r="A81">
        <v>13699</v>
      </c>
      <c r="B81">
        <v>5819</v>
      </c>
    </row>
    <row r="82" spans="1:2">
      <c r="A82">
        <v>7248</v>
      </c>
      <c r="B82">
        <v>4698</v>
      </c>
    </row>
    <row r="83" spans="1:2">
      <c r="A83">
        <v>6506</v>
      </c>
      <c r="B83">
        <v>5811</v>
      </c>
    </row>
    <row r="84" spans="1:2">
      <c r="A84">
        <v>13048</v>
      </c>
      <c r="B84">
        <v>5536</v>
      </c>
    </row>
    <row r="85" spans="1:2">
      <c r="A85">
        <v>2957</v>
      </c>
      <c r="B85">
        <v>5071</v>
      </c>
    </row>
    <row r="86" spans="1:2">
      <c r="A86">
        <v>1259</v>
      </c>
      <c r="B86">
        <v>5651</v>
      </c>
    </row>
    <row r="87" spans="1:2">
      <c r="A87">
        <v>11403</v>
      </c>
      <c r="B87">
        <v>6329</v>
      </c>
    </row>
    <row r="88" spans="1:2">
      <c r="A88">
        <v>13962</v>
      </c>
      <c r="B88">
        <v>5924</v>
      </c>
    </row>
    <row r="89" spans="1:2">
      <c r="A89">
        <v>3993</v>
      </c>
      <c r="B89">
        <v>4684</v>
      </c>
    </row>
    <row r="90" spans="1:2">
      <c r="A90">
        <v>8175</v>
      </c>
      <c r="B90">
        <v>5480</v>
      </c>
    </row>
    <row r="91" spans="1:2">
      <c r="A91">
        <v>12090</v>
      </c>
      <c r="B91">
        <v>5724</v>
      </c>
    </row>
    <row r="92" spans="1:2">
      <c r="A92">
        <v>3727</v>
      </c>
      <c r="B92">
        <v>5260</v>
      </c>
    </row>
    <row r="93" spans="1:2">
      <c r="A93">
        <v>2998</v>
      </c>
      <c r="B93">
        <v>5662</v>
      </c>
    </row>
    <row r="94" spans="1:2">
      <c r="A94">
        <v>9504</v>
      </c>
      <c r="B94">
        <v>5688</v>
      </c>
    </row>
    <row r="95" spans="1:2">
      <c r="A95">
        <v>11905</v>
      </c>
      <c r="B95">
        <v>4981</v>
      </c>
    </row>
    <row r="96" spans="1:2">
      <c r="A96">
        <v>7719</v>
      </c>
      <c r="B96">
        <v>5785</v>
      </c>
    </row>
    <row r="97" spans="1:2">
      <c r="A97">
        <v>7766</v>
      </c>
      <c r="B97">
        <v>6178</v>
      </c>
    </row>
    <row r="98" spans="1:2">
      <c r="A98">
        <v>12310</v>
      </c>
      <c r="B98">
        <v>5954</v>
      </c>
    </row>
    <row r="99" spans="1:2">
      <c r="A99">
        <v>5549</v>
      </c>
      <c r="B99">
        <v>4486</v>
      </c>
    </row>
    <row r="100" spans="1:2">
      <c r="A100">
        <v>5117</v>
      </c>
      <c r="B100">
        <v>6319</v>
      </c>
    </row>
    <row r="101" spans="1:2">
      <c r="A101">
        <v>10428</v>
      </c>
      <c r="B101">
        <v>4881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M12" sqref="M12"/>
    </sheetView>
  </sheetViews>
  <sheetFormatPr defaultColWidth="9" defaultRowHeight="14"/>
  <cols>
    <col min="8" max="8" width="11.625"/>
    <col min="9" max="9" width="10.5"/>
    <col min="10" max="10" width="9.375"/>
    <col min="11" max="11" width="10.5"/>
    <col min="12" max="12" width="9.375"/>
    <col min="13" max="13" width="10.5"/>
  </cols>
  <sheetData>
    <row r="1" spans="1:13">
      <c r="A1" t="s">
        <v>8</v>
      </c>
      <c r="B1" s="1" t="s">
        <v>9</v>
      </c>
      <c r="C1" t="s">
        <v>10</v>
      </c>
      <c r="D1" t="s">
        <v>11</v>
      </c>
      <c r="E1" t="s">
        <v>12</v>
      </c>
      <c r="F1" t="s">
        <v>13</v>
      </c>
      <c r="H1" t="s">
        <v>8</v>
      </c>
      <c r="I1" s="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70.94616</v>
      </c>
      <c r="B2">
        <v>8.789873</v>
      </c>
      <c r="C2">
        <v>3.252376</v>
      </c>
      <c r="D2">
        <v>3.376075</v>
      </c>
      <c r="E2">
        <v>3.240991</v>
      </c>
      <c r="F2">
        <v>3.091487</v>
      </c>
      <c r="G2" t="s">
        <v>4</v>
      </c>
      <c r="H2">
        <f t="shared" ref="H2:M2" si="0">MEDIAN(A2:A11)</f>
        <v>76.2404445</v>
      </c>
      <c r="I2">
        <f t="shared" si="0"/>
        <v>5.3776265</v>
      </c>
      <c r="J2">
        <f t="shared" si="0"/>
        <v>3.293163</v>
      </c>
      <c r="K2">
        <f t="shared" si="0"/>
        <v>3.2150515</v>
      </c>
      <c r="L2">
        <f t="shared" si="0"/>
        <v>3.264225</v>
      </c>
      <c r="M2">
        <f t="shared" si="0"/>
        <v>3.2706605</v>
      </c>
    </row>
    <row r="3" spans="1:13">
      <c r="A3">
        <v>40.464501</v>
      </c>
      <c r="B3">
        <v>3.530215</v>
      </c>
      <c r="C3">
        <v>3.767816</v>
      </c>
      <c r="D3">
        <v>3.561719</v>
      </c>
      <c r="E3">
        <v>3.194231</v>
      </c>
      <c r="F3">
        <v>3.389997</v>
      </c>
      <c r="G3" t="s">
        <v>5</v>
      </c>
      <c r="H3">
        <f t="shared" ref="H3:M3" si="1">MAX(A2:A11)-H2</f>
        <v>26.1842605</v>
      </c>
      <c r="I3">
        <f t="shared" si="1"/>
        <v>4.5698715</v>
      </c>
      <c r="J3">
        <f t="shared" si="1"/>
        <v>0.474653</v>
      </c>
      <c r="K3">
        <f t="shared" si="1"/>
        <v>0.3466675</v>
      </c>
      <c r="L3">
        <f t="shared" si="1"/>
        <v>0.404723</v>
      </c>
      <c r="M3">
        <f t="shared" si="1"/>
        <v>0.4198825</v>
      </c>
    </row>
    <row r="4" spans="1:13">
      <c r="A4">
        <v>88.499539</v>
      </c>
      <c r="B4">
        <v>8.800315</v>
      </c>
      <c r="C4">
        <v>3.498008</v>
      </c>
      <c r="D4">
        <v>3.505019</v>
      </c>
      <c r="E4">
        <v>3.239975</v>
      </c>
      <c r="F4">
        <v>3.074528</v>
      </c>
      <c r="G4" t="s">
        <v>6</v>
      </c>
      <c r="H4">
        <f t="shared" ref="H4:M4" si="2">H2-MIN(A2:A11)</f>
        <v>36.5028125</v>
      </c>
      <c r="I4">
        <f t="shared" si="2"/>
        <v>1.9591505</v>
      </c>
      <c r="J4">
        <f t="shared" si="2"/>
        <v>0.421587</v>
      </c>
      <c r="K4">
        <f t="shared" si="2"/>
        <v>0.2536535</v>
      </c>
      <c r="L4">
        <f t="shared" si="2"/>
        <v>0.0699939999999999</v>
      </c>
      <c r="M4">
        <f t="shared" si="2"/>
        <v>0.1961325</v>
      </c>
    </row>
    <row r="5" spans="1:6">
      <c r="A5">
        <v>69.876844</v>
      </c>
      <c r="B5">
        <v>9.947498</v>
      </c>
      <c r="C5">
        <v>2.871576</v>
      </c>
      <c r="D5">
        <v>3.409427</v>
      </c>
      <c r="E5">
        <v>3.668948</v>
      </c>
      <c r="F5">
        <v>3.215536</v>
      </c>
    </row>
    <row r="6" spans="1:6">
      <c r="A6">
        <v>39.737632</v>
      </c>
      <c r="B6">
        <v>4.26354</v>
      </c>
      <c r="C6">
        <v>3.159887</v>
      </c>
      <c r="D6">
        <v>3.342516</v>
      </c>
      <c r="E6">
        <v>3.260674</v>
      </c>
      <c r="F6">
        <v>3.690543</v>
      </c>
    </row>
    <row r="7" spans="1:6">
      <c r="A7">
        <v>87.78456</v>
      </c>
      <c r="B7">
        <v>3.418476</v>
      </c>
      <c r="C7">
        <v>3.33395</v>
      </c>
      <c r="D7">
        <v>3.087587</v>
      </c>
      <c r="E7">
        <v>3.660407</v>
      </c>
      <c r="F7">
        <v>3.269815</v>
      </c>
    </row>
    <row r="8" spans="1:6">
      <c r="A8">
        <v>98.161587</v>
      </c>
      <c r="B8">
        <v>8.291177</v>
      </c>
      <c r="C8">
        <v>3.183489</v>
      </c>
      <c r="D8">
        <v>3.01764</v>
      </c>
      <c r="E8">
        <v>3.346511</v>
      </c>
      <c r="F8">
        <v>3.271506</v>
      </c>
    </row>
    <row r="9" spans="1:6">
      <c r="A9">
        <v>59.58796</v>
      </c>
      <c r="B9">
        <v>4.507613</v>
      </c>
      <c r="C9">
        <v>3.158469</v>
      </c>
      <c r="D9">
        <v>2.973988</v>
      </c>
      <c r="E9">
        <v>3.267776</v>
      </c>
      <c r="F9">
        <v>3.599466</v>
      </c>
    </row>
    <row r="10" spans="1:6">
      <c r="A10">
        <v>102.424705</v>
      </c>
      <c r="B10">
        <v>6.24764</v>
      </c>
      <c r="C10">
        <v>3.740389</v>
      </c>
      <c r="D10">
        <v>3.010399</v>
      </c>
      <c r="E10">
        <v>3.603132</v>
      </c>
      <c r="F10">
        <v>3.306804</v>
      </c>
    </row>
    <row r="11" spans="1:6">
      <c r="A11">
        <v>81.534729</v>
      </c>
      <c r="B11">
        <v>3.864103</v>
      </c>
      <c r="C11">
        <v>3.385918</v>
      </c>
      <c r="D11">
        <v>2.961398</v>
      </c>
      <c r="E11">
        <v>3.219771</v>
      </c>
      <c r="F11">
        <v>3.198293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opLeftCell="A97" workbookViewId="0">
      <selection activeCell="K109" sqref="K109"/>
    </sheetView>
  </sheetViews>
  <sheetFormatPr defaultColWidth="9" defaultRowHeight="14" outlineLevelCol="1"/>
  <sheetData>
    <row r="1" spans="1:2">
      <c r="A1" t="s">
        <v>14</v>
      </c>
      <c r="B1" t="s">
        <v>15</v>
      </c>
    </row>
    <row r="2" spans="1:2">
      <c r="A2">
        <v>18</v>
      </c>
      <c r="B2">
        <v>17</v>
      </c>
    </row>
    <row r="3" spans="1:2">
      <c r="A3">
        <v>12235</v>
      </c>
      <c r="B3">
        <v>12324</v>
      </c>
    </row>
    <row r="4" spans="1:2">
      <c r="A4">
        <v>7432</v>
      </c>
      <c r="B4">
        <v>8167</v>
      </c>
    </row>
    <row r="5" spans="1:2">
      <c r="A5">
        <v>9041</v>
      </c>
      <c r="B5">
        <v>7334</v>
      </c>
    </row>
    <row r="6" spans="1:2">
      <c r="A6">
        <v>4153</v>
      </c>
      <c r="B6">
        <v>8321</v>
      </c>
    </row>
    <row r="7" spans="1:2">
      <c r="A7">
        <v>11948</v>
      </c>
      <c r="B7">
        <v>8396</v>
      </c>
    </row>
    <row r="8" spans="1:2">
      <c r="A8">
        <v>7482</v>
      </c>
      <c r="B8">
        <v>7789</v>
      </c>
    </row>
    <row r="9" spans="1:2">
      <c r="A9">
        <v>8046</v>
      </c>
      <c r="B9">
        <v>7075</v>
      </c>
    </row>
    <row r="10" spans="1:2">
      <c r="A10">
        <v>5876</v>
      </c>
      <c r="B10">
        <v>10614</v>
      </c>
    </row>
    <row r="11" spans="1:2">
      <c r="A11">
        <v>9274</v>
      </c>
      <c r="B11">
        <v>7678</v>
      </c>
    </row>
    <row r="12" spans="1:2">
      <c r="A12">
        <v>6398</v>
      </c>
      <c r="B12">
        <v>7037</v>
      </c>
    </row>
    <row r="13" spans="1:2">
      <c r="A13">
        <v>8273</v>
      </c>
      <c r="B13">
        <v>8637</v>
      </c>
    </row>
    <row r="14" spans="1:2">
      <c r="A14">
        <v>8110</v>
      </c>
      <c r="B14">
        <v>8190</v>
      </c>
    </row>
    <row r="15" spans="1:2">
      <c r="A15">
        <v>7776</v>
      </c>
      <c r="B15">
        <v>5771</v>
      </c>
    </row>
    <row r="16" spans="1:2">
      <c r="A16">
        <v>5960</v>
      </c>
      <c r="B16">
        <v>7456</v>
      </c>
    </row>
    <row r="17" spans="1:2">
      <c r="A17">
        <v>11143</v>
      </c>
      <c r="B17">
        <v>10946</v>
      </c>
    </row>
    <row r="18" spans="1:2">
      <c r="A18">
        <v>7280</v>
      </c>
      <c r="B18">
        <v>8601</v>
      </c>
    </row>
    <row r="19" spans="1:2">
      <c r="A19">
        <v>7607</v>
      </c>
      <c r="B19">
        <v>7155</v>
      </c>
    </row>
    <row r="20" spans="1:2">
      <c r="A20">
        <v>5781</v>
      </c>
      <c r="B20">
        <v>7968</v>
      </c>
    </row>
    <row r="21" spans="1:2">
      <c r="A21">
        <v>10856</v>
      </c>
      <c r="B21">
        <v>7956</v>
      </c>
    </row>
    <row r="22" spans="1:2">
      <c r="A22">
        <v>6993</v>
      </c>
      <c r="B22">
        <v>6238</v>
      </c>
    </row>
    <row r="23" spans="1:2">
      <c r="A23">
        <v>7697</v>
      </c>
      <c r="B23">
        <v>9058</v>
      </c>
    </row>
    <row r="24" spans="1:2">
      <c r="A24">
        <v>8381</v>
      </c>
      <c r="B24">
        <v>8408</v>
      </c>
    </row>
    <row r="25" spans="1:2">
      <c r="A25">
        <v>8519</v>
      </c>
      <c r="B25">
        <v>7740</v>
      </c>
    </row>
    <row r="26" spans="1:2">
      <c r="A26">
        <v>8242</v>
      </c>
      <c r="B26">
        <v>7207</v>
      </c>
    </row>
    <row r="27" spans="1:2">
      <c r="A27">
        <v>8371</v>
      </c>
      <c r="B27">
        <v>8630</v>
      </c>
    </row>
    <row r="28" spans="1:2">
      <c r="A28">
        <v>7014</v>
      </c>
      <c r="B28">
        <v>5861</v>
      </c>
    </row>
    <row r="29" spans="1:2">
      <c r="A29">
        <v>7367</v>
      </c>
      <c r="B29">
        <v>6917</v>
      </c>
    </row>
    <row r="30" spans="1:2">
      <c r="A30">
        <v>7027</v>
      </c>
      <c r="B30">
        <v>8345</v>
      </c>
    </row>
    <row r="31" spans="1:2">
      <c r="A31">
        <v>8067</v>
      </c>
      <c r="B31">
        <v>7786</v>
      </c>
    </row>
    <row r="32" spans="1:2">
      <c r="A32">
        <v>6891</v>
      </c>
      <c r="B32">
        <v>5986</v>
      </c>
    </row>
    <row r="33" spans="1:2">
      <c r="A33">
        <v>7341</v>
      </c>
      <c r="B33">
        <v>7913</v>
      </c>
    </row>
    <row r="34" spans="1:2">
      <c r="A34">
        <v>7548</v>
      </c>
      <c r="B34">
        <v>8744</v>
      </c>
    </row>
    <row r="35" spans="1:2">
      <c r="A35">
        <v>8487</v>
      </c>
      <c r="B35">
        <v>6937</v>
      </c>
    </row>
    <row r="36" spans="1:2">
      <c r="A36">
        <v>7233</v>
      </c>
      <c r="B36">
        <v>8420</v>
      </c>
    </row>
    <row r="37" spans="1:2">
      <c r="A37">
        <v>7966</v>
      </c>
      <c r="B37">
        <v>8308</v>
      </c>
    </row>
    <row r="38" spans="1:2">
      <c r="A38">
        <v>7835</v>
      </c>
      <c r="B38">
        <v>9136</v>
      </c>
    </row>
    <row r="39" spans="1:2">
      <c r="A39">
        <v>8380</v>
      </c>
      <c r="B39">
        <v>6482</v>
      </c>
    </row>
    <row r="40" spans="1:2">
      <c r="A40">
        <v>8519</v>
      </c>
      <c r="B40">
        <v>9568</v>
      </c>
    </row>
    <row r="41" spans="1:2">
      <c r="A41">
        <v>7181</v>
      </c>
      <c r="B41">
        <v>6230</v>
      </c>
    </row>
    <row r="42" spans="1:2">
      <c r="A42">
        <v>5921</v>
      </c>
      <c r="B42">
        <v>8047</v>
      </c>
    </row>
    <row r="43" spans="1:2">
      <c r="A43">
        <v>7395</v>
      </c>
      <c r="B43">
        <v>7617</v>
      </c>
    </row>
    <row r="44" spans="1:2">
      <c r="A44">
        <v>9250</v>
      </c>
      <c r="B44">
        <v>7878</v>
      </c>
    </row>
    <row r="45" spans="1:2">
      <c r="A45">
        <v>5498</v>
      </c>
      <c r="B45">
        <v>7935</v>
      </c>
    </row>
    <row r="46" spans="1:2">
      <c r="A46">
        <v>6101</v>
      </c>
      <c r="B46">
        <v>6213</v>
      </c>
    </row>
    <row r="47" spans="1:2">
      <c r="A47">
        <v>8185</v>
      </c>
      <c r="B47">
        <v>7568</v>
      </c>
    </row>
    <row r="48" spans="1:2">
      <c r="A48">
        <v>5065</v>
      </c>
      <c r="B48">
        <v>5930</v>
      </c>
    </row>
    <row r="49" spans="1:2">
      <c r="A49">
        <v>7044</v>
      </c>
      <c r="B49">
        <v>4818</v>
      </c>
    </row>
    <row r="50" spans="1:2">
      <c r="A50">
        <v>6115</v>
      </c>
      <c r="B50">
        <v>7754</v>
      </c>
    </row>
    <row r="51" spans="1:2">
      <c r="A51">
        <v>5060</v>
      </c>
      <c r="B51">
        <v>5241</v>
      </c>
    </row>
    <row r="52" spans="1:2">
      <c r="A52">
        <v>5854</v>
      </c>
      <c r="B52">
        <v>5632</v>
      </c>
    </row>
    <row r="53" spans="1:2">
      <c r="A53">
        <v>6333</v>
      </c>
      <c r="B53">
        <v>5682</v>
      </c>
    </row>
    <row r="54" spans="1:2">
      <c r="A54">
        <v>5245</v>
      </c>
      <c r="B54">
        <v>4199</v>
      </c>
    </row>
    <row r="55" spans="1:2">
      <c r="A55">
        <v>3983</v>
      </c>
      <c r="B55">
        <v>3120</v>
      </c>
    </row>
    <row r="56" spans="1:2">
      <c r="A56">
        <v>5674</v>
      </c>
      <c r="B56">
        <v>4933</v>
      </c>
    </row>
    <row r="57" spans="1:2">
      <c r="A57">
        <v>6046</v>
      </c>
      <c r="B57">
        <v>3134</v>
      </c>
    </row>
    <row r="58" spans="1:2">
      <c r="A58">
        <v>4894</v>
      </c>
      <c r="B58">
        <v>1180</v>
      </c>
    </row>
    <row r="59" spans="1:2">
      <c r="A59">
        <v>4557</v>
      </c>
      <c r="B59">
        <v>3638</v>
      </c>
    </row>
    <row r="60" spans="1:2">
      <c r="A60">
        <v>7532</v>
      </c>
      <c r="B60">
        <v>4071</v>
      </c>
    </row>
    <row r="61" spans="1:2">
      <c r="A61">
        <v>4097</v>
      </c>
      <c r="B61">
        <v>3483</v>
      </c>
    </row>
    <row r="62" spans="1:2">
      <c r="A62">
        <v>9719</v>
      </c>
      <c r="B62">
        <v>4480</v>
      </c>
    </row>
    <row r="63" spans="1:2">
      <c r="A63">
        <v>7092</v>
      </c>
      <c r="B63">
        <v>5249</v>
      </c>
    </row>
    <row r="64" spans="1:2">
      <c r="A64">
        <v>6442</v>
      </c>
      <c r="B64">
        <v>5880</v>
      </c>
    </row>
    <row r="65" spans="1:2">
      <c r="A65">
        <v>8187</v>
      </c>
      <c r="B65">
        <v>6322</v>
      </c>
    </row>
    <row r="66" spans="1:2">
      <c r="A66">
        <v>9735</v>
      </c>
      <c r="B66">
        <v>6297</v>
      </c>
    </row>
    <row r="67" spans="1:2">
      <c r="A67">
        <v>12656</v>
      </c>
      <c r="B67">
        <v>4964</v>
      </c>
    </row>
    <row r="68" spans="1:2">
      <c r="A68">
        <v>5878</v>
      </c>
      <c r="B68">
        <v>6589</v>
      </c>
    </row>
    <row r="69" spans="1:2">
      <c r="A69">
        <v>9345</v>
      </c>
      <c r="B69">
        <v>7313</v>
      </c>
    </row>
    <row r="70" spans="1:2">
      <c r="A70">
        <v>12742</v>
      </c>
      <c r="B70">
        <v>5134</v>
      </c>
    </row>
    <row r="71" spans="1:2">
      <c r="A71">
        <v>8708</v>
      </c>
      <c r="B71">
        <v>7202</v>
      </c>
    </row>
    <row r="72" spans="1:2">
      <c r="A72">
        <v>9644</v>
      </c>
      <c r="B72">
        <v>6620</v>
      </c>
    </row>
    <row r="73" spans="1:2">
      <c r="A73">
        <v>14771</v>
      </c>
      <c r="B73">
        <v>5575</v>
      </c>
    </row>
    <row r="74" spans="1:2">
      <c r="A74">
        <v>11041</v>
      </c>
      <c r="B74">
        <v>5644</v>
      </c>
    </row>
    <row r="75" spans="1:2">
      <c r="A75">
        <v>8545</v>
      </c>
      <c r="B75">
        <v>6782</v>
      </c>
    </row>
    <row r="76" spans="1:2">
      <c r="A76">
        <v>11407</v>
      </c>
      <c r="B76">
        <v>6572</v>
      </c>
    </row>
    <row r="77" spans="1:2">
      <c r="A77">
        <v>13336</v>
      </c>
      <c r="B77">
        <v>6107</v>
      </c>
    </row>
    <row r="78" spans="1:2">
      <c r="A78">
        <v>7631</v>
      </c>
      <c r="B78">
        <v>7892</v>
      </c>
    </row>
    <row r="79" spans="1:2">
      <c r="A79">
        <v>7047</v>
      </c>
      <c r="B79">
        <v>6502</v>
      </c>
    </row>
    <row r="80" spans="1:2">
      <c r="A80">
        <v>10000</v>
      </c>
      <c r="B80">
        <v>5984</v>
      </c>
    </row>
    <row r="81" spans="1:2">
      <c r="A81">
        <v>11238</v>
      </c>
      <c r="B81">
        <v>7352</v>
      </c>
    </row>
    <row r="82" spans="1:2">
      <c r="A82">
        <v>16386</v>
      </c>
      <c r="B82">
        <v>6658</v>
      </c>
    </row>
    <row r="83" spans="1:2">
      <c r="A83">
        <v>12430</v>
      </c>
      <c r="B83">
        <v>6604</v>
      </c>
    </row>
    <row r="84" spans="1:2">
      <c r="A84">
        <v>9555</v>
      </c>
      <c r="B84">
        <v>6231</v>
      </c>
    </row>
    <row r="85" spans="1:2">
      <c r="A85">
        <v>13157</v>
      </c>
      <c r="B85">
        <v>7910</v>
      </c>
    </row>
    <row r="86" spans="1:2">
      <c r="A86">
        <v>11352</v>
      </c>
      <c r="B86">
        <v>5589</v>
      </c>
    </row>
    <row r="87" spans="1:2">
      <c r="A87">
        <v>14632</v>
      </c>
      <c r="B87">
        <v>6100</v>
      </c>
    </row>
    <row r="88" spans="1:2">
      <c r="A88">
        <v>17873</v>
      </c>
      <c r="B88">
        <v>6699</v>
      </c>
    </row>
    <row r="89" spans="1:2">
      <c r="A89">
        <v>6472</v>
      </c>
      <c r="B89">
        <v>6901</v>
      </c>
    </row>
    <row r="90" spans="1:2">
      <c r="A90">
        <v>10688</v>
      </c>
      <c r="B90">
        <v>5936</v>
      </c>
    </row>
    <row r="91" spans="1:2">
      <c r="A91">
        <v>14896</v>
      </c>
      <c r="B91">
        <v>6168</v>
      </c>
    </row>
    <row r="92" spans="1:2">
      <c r="A92">
        <v>9412</v>
      </c>
      <c r="B92">
        <v>5487</v>
      </c>
    </row>
    <row r="93" spans="1:2">
      <c r="A93">
        <v>15105</v>
      </c>
      <c r="B93">
        <v>5207</v>
      </c>
    </row>
    <row r="94" spans="1:2">
      <c r="A94">
        <v>17796</v>
      </c>
      <c r="B94">
        <v>6174</v>
      </c>
    </row>
    <row r="95" spans="1:2">
      <c r="A95">
        <v>11532</v>
      </c>
      <c r="B95">
        <v>5835</v>
      </c>
    </row>
    <row r="96" spans="1:2">
      <c r="A96">
        <v>6021</v>
      </c>
      <c r="B96">
        <v>5307</v>
      </c>
    </row>
    <row r="97" spans="1:2">
      <c r="A97">
        <v>10762</v>
      </c>
      <c r="B97">
        <v>5036</v>
      </c>
    </row>
    <row r="98" spans="1:2">
      <c r="A98">
        <v>11574</v>
      </c>
      <c r="B98">
        <v>6120</v>
      </c>
    </row>
    <row r="99" spans="1:2">
      <c r="A99">
        <v>12214</v>
      </c>
      <c r="B99">
        <v>4772</v>
      </c>
    </row>
    <row r="100" spans="1:2">
      <c r="A100">
        <v>13242</v>
      </c>
      <c r="B100">
        <v>5029</v>
      </c>
    </row>
    <row r="101" spans="1:2">
      <c r="A101">
        <v>12968</v>
      </c>
      <c r="B101">
        <v>5542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A19" workbookViewId="0">
      <selection activeCell="L35" sqref="L35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202</v>
      </c>
      <c r="C2">
        <v>240</v>
      </c>
      <c r="D2">
        <v>500</v>
      </c>
      <c r="E2">
        <v>388</v>
      </c>
      <c r="G2">
        <v>500</v>
      </c>
      <c r="H2">
        <f>B2/A2</f>
        <v>0.404</v>
      </c>
      <c r="I2">
        <f>C2/A2</f>
        <v>0.48</v>
      </c>
      <c r="J2">
        <f>D2/A2</f>
        <v>1</v>
      </c>
      <c r="K2">
        <f>E2/A2</f>
        <v>0.776</v>
      </c>
    </row>
    <row r="3" spans="1:11">
      <c r="A3">
        <v>520</v>
      </c>
      <c r="B3">
        <v>207</v>
      </c>
      <c r="C3">
        <v>250</v>
      </c>
      <c r="D3">
        <v>520</v>
      </c>
      <c r="E3">
        <v>403</v>
      </c>
      <c r="G3">
        <v>520</v>
      </c>
      <c r="H3">
        <f t="shared" ref="H3:H27" si="0">B3/A3</f>
        <v>0.398076923076923</v>
      </c>
      <c r="I3">
        <f t="shared" ref="I3:I27" si="1">C3/A3</f>
        <v>0.480769230769231</v>
      </c>
      <c r="J3">
        <f t="shared" ref="J3:J27" si="2">D3/A3</f>
        <v>1</v>
      </c>
      <c r="K3">
        <f t="shared" ref="K3:K27" si="3">E3/A3</f>
        <v>0.775</v>
      </c>
    </row>
    <row r="4" spans="1:11">
      <c r="A4">
        <v>540</v>
      </c>
      <c r="B4">
        <v>222</v>
      </c>
      <c r="C4">
        <v>259</v>
      </c>
      <c r="D4">
        <v>540</v>
      </c>
      <c r="E4">
        <v>419</v>
      </c>
      <c r="G4">
        <v>540</v>
      </c>
      <c r="H4">
        <f t="shared" si="0"/>
        <v>0.411111111111111</v>
      </c>
      <c r="I4">
        <f t="shared" si="1"/>
        <v>0.47962962962963</v>
      </c>
      <c r="J4">
        <f t="shared" si="2"/>
        <v>1</v>
      </c>
      <c r="K4">
        <f t="shared" si="3"/>
        <v>0.775925925925926</v>
      </c>
    </row>
    <row r="5" spans="1:11">
      <c r="A5">
        <v>560</v>
      </c>
      <c r="B5">
        <v>242</v>
      </c>
      <c r="C5">
        <v>271</v>
      </c>
      <c r="D5">
        <v>560</v>
      </c>
      <c r="E5">
        <v>435</v>
      </c>
      <c r="G5">
        <v>560</v>
      </c>
      <c r="H5">
        <f t="shared" si="0"/>
        <v>0.432142857142857</v>
      </c>
      <c r="I5">
        <f t="shared" si="1"/>
        <v>0.483928571428571</v>
      </c>
      <c r="J5">
        <f t="shared" si="2"/>
        <v>1</v>
      </c>
      <c r="K5">
        <f t="shared" si="3"/>
        <v>0.776785714285714</v>
      </c>
    </row>
    <row r="6" spans="1:11">
      <c r="A6">
        <v>580</v>
      </c>
      <c r="B6">
        <v>262</v>
      </c>
      <c r="C6">
        <v>276</v>
      </c>
      <c r="D6">
        <v>580</v>
      </c>
      <c r="E6">
        <v>450</v>
      </c>
      <c r="G6">
        <v>580</v>
      </c>
      <c r="H6">
        <f t="shared" si="0"/>
        <v>0.451724137931034</v>
      </c>
      <c r="I6">
        <f t="shared" si="1"/>
        <v>0.475862068965517</v>
      </c>
      <c r="J6">
        <f t="shared" si="2"/>
        <v>1</v>
      </c>
      <c r="K6">
        <f t="shared" si="3"/>
        <v>0.775862068965517</v>
      </c>
    </row>
    <row r="7" spans="1:11">
      <c r="A7">
        <v>600</v>
      </c>
      <c r="B7">
        <v>282</v>
      </c>
      <c r="C7">
        <v>283</v>
      </c>
      <c r="D7">
        <v>600</v>
      </c>
      <c r="E7">
        <v>465</v>
      </c>
      <c r="G7">
        <v>600</v>
      </c>
      <c r="H7">
        <f t="shared" si="0"/>
        <v>0.47</v>
      </c>
      <c r="I7">
        <f t="shared" si="1"/>
        <v>0.471666666666667</v>
      </c>
      <c r="J7">
        <f t="shared" si="2"/>
        <v>1</v>
      </c>
      <c r="K7">
        <f t="shared" si="3"/>
        <v>0.775</v>
      </c>
    </row>
    <row r="8" spans="1:11">
      <c r="A8">
        <v>620</v>
      </c>
      <c r="B8">
        <v>292</v>
      </c>
      <c r="C8">
        <v>292</v>
      </c>
      <c r="D8">
        <v>620</v>
      </c>
      <c r="E8">
        <v>480</v>
      </c>
      <c r="G8">
        <v>620</v>
      </c>
      <c r="H8">
        <f t="shared" si="0"/>
        <v>0.470967741935484</v>
      </c>
      <c r="I8">
        <f t="shared" si="1"/>
        <v>0.470967741935484</v>
      </c>
      <c r="J8">
        <f t="shared" si="2"/>
        <v>1</v>
      </c>
      <c r="K8">
        <f t="shared" si="3"/>
        <v>0.774193548387097</v>
      </c>
    </row>
    <row r="9" spans="1:11">
      <c r="A9">
        <v>640</v>
      </c>
      <c r="B9">
        <v>292</v>
      </c>
      <c r="C9">
        <v>302</v>
      </c>
      <c r="D9">
        <v>640</v>
      </c>
      <c r="E9">
        <v>495</v>
      </c>
      <c r="G9">
        <v>640</v>
      </c>
      <c r="H9">
        <f t="shared" si="0"/>
        <v>0.45625</v>
      </c>
      <c r="I9">
        <f t="shared" si="1"/>
        <v>0.471875</v>
      </c>
      <c r="J9">
        <f t="shared" si="2"/>
        <v>1</v>
      </c>
      <c r="K9">
        <f t="shared" si="3"/>
        <v>0.7734375</v>
      </c>
    </row>
    <row r="10" spans="1:11">
      <c r="A10">
        <v>660</v>
      </c>
      <c r="B10">
        <v>292</v>
      </c>
      <c r="C10">
        <v>311</v>
      </c>
      <c r="D10">
        <v>660</v>
      </c>
      <c r="E10">
        <v>512</v>
      </c>
      <c r="G10">
        <v>660</v>
      </c>
      <c r="H10">
        <f t="shared" si="0"/>
        <v>0.442424242424242</v>
      </c>
      <c r="I10">
        <f t="shared" si="1"/>
        <v>0.471212121212121</v>
      </c>
      <c r="J10">
        <f t="shared" si="2"/>
        <v>1</v>
      </c>
      <c r="K10">
        <f t="shared" si="3"/>
        <v>0.775757575757576</v>
      </c>
    </row>
    <row r="11" spans="1:11">
      <c r="A11">
        <v>680</v>
      </c>
      <c r="B11">
        <v>296</v>
      </c>
      <c r="C11">
        <v>321</v>
      </c>
      <c r="D11">
        <v>680</v>
      </c>
      <c r="E11">
        <v>527</v>
      </c>
      <c r="G11">
        <v>680</v>
      </c>
      <c r="H11">
        <f t="shared" si="0"/>
        <v>0.435294117647059</v>
      </c>
      <c r="I11">
        <f t="shared" si="1"/>
        <v>0.472058823529412</v>
      </c>
      <c r="J11">
        <f t="shared" si="2"/>
        <v>1</v>
      </c>
      <c r="K11">
        <f t="shared" si="3"/>
        <v>0.775</v>
      </c>
    </row>
    <row r="12" spans="1:11">
      <c r="A12">
        <v>700</v>
      </c>
      <c r="B12">
        <v>296</v>
      </c>
      <c r="C12">
        <v>332</v>
      </c>
      <c r="D12">
        <v>700</v>
      </c>
      <c r="E12">
        <v>542</v>
      </c>
      <c r="G12">
        <v>700</v>
      </c>
      <c r="H12">
        <f t="shared" si="0"/>
        <v>0.422857142857143</v>
      </c>
      <c r="I12">
        <f t="shared" si="1"/>
        <v>0.474285714285714</v>
      </c>
      <c r="J12">
        <f t="shared" si="2"/>
        <v>1</v>
      </c>
      <c r="K12">
        <f t="shared" si="3"/>
        <v>0.774285714285714</v>
      </c>
    </row>
    <row r="13" spans="1:11">
      <c r="A13">
        <v>720</v>
      </c>
      <c r="B13">
        <v>300</v>
      </c>
      <c r="C13">
        <v>345</v>
      </c>
      <c r="D13">
        <v>720</v>
      </c>
      <c r="E13">
        <v>556</v>
      </c>
      <c r="G13">
        <v>720</v>
      </c>
      <c r="H13">
        <f t="shared" si="0"/>
        <v>0.416666666666667</v>
      </c>
      <c r="I13">
        <f t="shared" si="1"/>
        <v>0.479166666666667</v>
      </c>
      <c r="J13">
        <f t="shared" si="2"/>
        <v>1</v>
      </c>
      <c r="K13">
        <f t="shared" si="3"/>
        <v>0.772222222222222</v>
      </c>
    </row>
    <row r="14" spans="1:11">
      <c r="A14">
        <v>740</v>
      </c>
      <c r="B14">
        <v>315</v>
      </c>
      <c r="C14">
        <v>353</v>
      </c>
      <c r="D14">
        <v>740</v>
      </c>
      <c r="E14">
        <v>571</v>
      </c>
      <c r="G14">
        <v>740</v>
      </c>
      <c r="H14">
        <f t="shared" si="0"/>
        <v>0.425675675675676</v>
      </c>
      <c r="I14">
        <f t="shared" si="1"/>
        <v>0.477027027027027</v>
      </c>
      <c r="J14">
        <f t="shared" si="2"/>
        <v>1</v>
      </c>
      <c r="K14">
        <f t="shared" si="3"/>
        <v>0.771621621621622</v>
      </c>
    </row>
    <row r="15" spans="1:11">
      <c r="A15">
        <v>760</v>
      </c>
      <c r="B15">
        <v>335</v>
      </c>
      <c r="C15">
        <v>362</v>
      </c>
      <c r="D15">
        <v>760</v>
      </c>
      <c r="E15">
        <v>586</v>
      </c>
      <c r="G15">
        <v>760</v>
      </c>
      <c r="H15">
        <f t="shared" si="0"/>
        <v>0.440789473684211</v>
      </c>
      <c r="I15">
        <f t="shared" si="1"/>
        <v>0.476315789473684</v>
      </c>
      <c r="J15">
        <f t="shared" si="2"/>
        <v>1</v>
      </c>
      <c r="K15">
        <f t="shared" si="3"/>
        <v>0.771052631578947</v>
      </c>
    </row>
    <row r="16" spans="1:11">
      <c r="A16">
        <v>780</v>
      </c>
      <c r="B16">
        <v>355</v>
      </c>
      <c r="C16">
        <v>369</v>
      </c>
      <c r="D16">
        <v>780</v>
      </c>
      <c r="E16">
        <v>602</v>
      </c>
      <c r="G16">
        <v>780</v>
      </c>
      <c r="H16">
        <f t="shared" si="0"/>
        <v>0.455128205128205</v>
      </c>
      <c r="I16">
        <f t="shared" si="1"/>
        <v>0.473076923076923</v>
      </c>
      <c r="J16">
        <f t="shared" si="2"/>
        <v>1</v>
      </c>
      <c r="K16">
        <f t="shared" si="3"/>
        <v>0.771794871794872</v>
      </c>
    </row>
    <row r="17" spans="1:11">
      <c r="A17">
        <v>800</v>
      </c>
      <c r="B17">
        <v>373</v>
      </c>
      <c r="C17">
        <v>378</v>
      </c>
      <c r="D17">
        <v>800</v>
      </c>
      <c r="E17">
        <v>617</v>
      </c>
      <c r="G17">
        <v>800</v>
      </c>
      <c r="H17">
        <f t="shared" si="0"/>
        <v>0.46625</v>
      </c>
      <c r="I17">
        <f t="shared" si="1"/>
        <v>0.4725</v>
      </c>
      <c r="J17">
        <f t="shared" si="2"/>
        <v>1</v>
      </c>
      <c r="K17">
        <f t="shared" si="3"/>
        <v>0.77125</v>
      </c>
    </row>
    <row r="18" spans="1:11">
      <c r="A18">
        <v>820</v>
      </c>
      <c r="B18">
        <v>383</v>
      </c>
      <c r="C18">
        <v>391</v>
      </c>
      <c r="D18">
        <v>820</v>
      </c>
      <c r="E18">
        <v>631</v>
      </c>
      <c r="G18">
        <v>820</v>
      </c>
      <c r="H18">
        <f t="shared" si="0"/>
        <v>0.467073170731707</v>
      </c>
      <c r="I18">
        <f t="shared" si="1"/>
        <v>0.476829268292683</v>
      </c>
      <c r="J18">
        <f t="shared" si="2"/>
        <v>1</v>
      </c>
      <c r="K18">
        <f t="shared" si="3"/>
        <v>0.769512195121951</v>
      </c>
    </row>
    <row r="19" spans="1:11">
      <c r="A19">
        <v>840</v>
      </c>
      <c r="B19">
        <v>386</v>
      </c>
      <c r="C19">
        <v>399</v>
      </c>
      <c r="D19">
        <v>840</v>
      </c>
      <c r="E19">
        <v>646</v>
      </c>
      <c r="G19">
        <v>840</v>
      </c>
      <c r="H19">
        <f t="shared" si="0"/>
        <v>0.45952380952381</v>
      </c>
      <c r="I19">
        <f t="shared" si="1"/>
        <v>0.475</v>
      </c>
      <c r="J19">
        <f t="shared" si="2"/>
        <v>1</v>
      </c>
      <c r="K19">
        <f t="shared" si="3"/>
        <v>0.769047619047619</v>
      </c>
    </row>
    <row r="20" spans="1:11">
      <c r="A20">
        <v>860</v>
      </c>
      <c r="B20">
        <v>386</v>
      </c>
      <c r="C20">
        <v>408</v>
      </c>
      <c r="D20">
        <v>860</v>
      </c>
      <c r="E20">
        <v>662</v>
      </c>
      <c r="G20">
        <v>860</v>
      </c>
      <c r="H20">
        <f t="shared" si="0"/>
        <v>0.448837209302326</v>
      </c>
      <c r="I20">
        <f t="shared" si="1"/>
        <v>0.474418604651163</v>
      </c>
      <c r="J20">
        <f t="shared" si="2"/>
        <v>1</v>
      </c>
      <c r="K20">
        <f t="shared" si="3"/>
        <v>0.769767441860465</v>
      </c>
    </row>
    <row r="21" spans="1:11">
      <c r="A21">
        <v>880</v>
      </c>
      <c r="B21">
        <v>395</v>
      </c>
      <c r="C21">
        <v>418</v>
      </c>
      <c r="D21">
        <v>880</v>
      </c>
      <c r="E21">
        <v>677</v>
      </c>
      <c r="G21">
        <v>880</v>
      </c>
      <c r="H21">
        <f t="shared" si="0"/>
        <v>0.448863636363636</v>
      </c>
      <c r="I21">
        <f t="shared" si="1"/>
        <v>0.475</v>
      </c>
      <c r="J21">
        <f t="shared" si="2"/>
        <v>1</v>
      </c>
      <c r="K21">
        <f t="shared" si="3"/>
        <v>0.769318181818182</v>
      </c>
    </row>
    <row r="22" spans="1:11">
      <c r="A22">
        <v>900</v>
      </c>
      <c r="B22">
        <v>396</v>
      </c>
      <c r="C22">
        <v>430</v>
      </c>
      <c r="D22">
        <v>900</v>
      </c>
      <c r="E22">
        <v>692</v>
      </c>
      <c r="G22">
        <v>900</v>
      </c>
      <c r="H22">
        <f t="shared" si="0"/>
        <v>0.44</v>
      </c>
      <c r="I22">
        <f t="shared" si="1"/>
        <v>0.477777777777778</v>
      </c>
      <c r="J22">
        <f t="shared" si="2"/>
        <v>1</v>
      </c>
      <c r="K22">
        <f t="shared" si="3"/>
        <v>0.768888888888889</v>
      </c>
    </row>
    <row r="23" spans="1:11">
      <c r="A23">
        <v>920</v>
      </c>
      <c r="B23">
        <v>399</v>
      </c>
      <c r="C23">
        <v>438</v>
      </c>
      <c r="D23">
        <v>920</v>
      </c>
      <c r="E23">
        <v>712</v>
      </c>
      <c r="G23">
        <v>920</v>
      </c>
      <c r="H23">
        <f t="shared" si="0"/>
        <v>0.433695652173913</v>
      </c>
      <c r="I23">
        <f t="shared" si="1"/>
        <v>0.476086956521739</v>
      </c>
      <c r="J23">
        <f t="shared" si="2"/>
        <v>1</v>
      </c>
      <c r="K23">
        <f t="shared" si="3"/>
        <v>0.773913043478261</v>
      </c>
    </row>
    <row r="24" spans="1:11">
      <c r="A24">
        <v>940</v>
      </c>
      <c r="B24">
        <v>414</v>
      </c>
      <c r="C24">
        <v>448</v>
      </c>
      <c r="D24">
        <v>940</v>
      </c>
      <c r="E24">
        <v>727</v>
      </c>
      <c r="G24">
        <v>940</v>
      </c>
      <c r="H24">
        <f t="shared" si="0"/>
        <v>0.440425531914894</v>
      </c>
      <c r="I24">
        <f t="shared" si="1"/>
        <v>0.476595744680851</v>
      </c>
      <c r="J24">
        <f t="shared" si="2"/>
        <v>1</v>
      </c>
      <c r="K24">
        <f t="shared" si="3"/>
        <v>0.773404255319149</v>
      </c>
    </row>
    <row r="25" spans="1:11">
      <c r="A25">
        <v>960</v>
      </c>
      <c r="B25">
        <v>434</v>
      </c>
      <c r="C25">
        <v>456</v>
      </c>
      <c r="D25">
        <v>960</v>
      </c>
      <c r="E25">
        <v>740</v>
      </c>
      <c r="G25">
        <v>960</v>
      </c>
      <c r="H25">
        <f t="shared" si="0"/>
        <v>0.452083333333333</v>
      </c>
      <c r="I25">
        <f t="shared" si="1"/>
        <v>0.475</v>
      </c>
      <c r="J25">
        <f t="shared" si="2"/>
        <v>1</v>
      </c>
      <c r="K25">
        <f t="shared" si="3"/>
        <v>0.770833333333333</v>
      </c>
    </row>
    <row r="26" spans="1:11">
      <c r="A26">
        <v>980</v>
      </c>
      <c r="B26">
        <v>447</v>
      </c>
      <c r="C26">
        <v>463</v>
      </c>
      <c r="D26">
        <v>980</v>
      </c>
      <c r="E26">
        <v>756</v>
      </c>
      <c r="G26">
        <v>980</v>
      </c>
      <c r="H26">
        <f t="shared" si="0"/>
        <v>0.456122448979592</v>
      </c>
      <c r="I26">
        <f t="shared" si="1"/>
        <v>0.472448979591837</v>
      </c>
      <c r="J26">
        <f t="shared" si="2"/>
        <v>1</v>
      </c>
      <c r="K26">
        <f t="shared" si="3"/>
        <v>0.771428571428571</v>
      </c>
    </row>
    <row r="27" spans="1:11">
      <c r="A27">
        <v>1000</v>
      </c>
      <c r="B27">
        <v>465</v>
      </c>
      <c r="C27">
        <v>472</v>
      </c>
      <c r="D27">
        <v>1000</v>
      </c>
      <c r="E27">
        <v>775</v>
      </c>
      <c r="G27">
        <v>1000</v>
      </c>
      <c r="H27">
        <f t="shared" si="0"/>
        <v>0.465</v>
      </c>
      <c r="I27">
        <f t="shared" si="1"/>
        <v>0.472</v>
      </c>
      <c r="J27">
        <f t="shared" si="2"/>
        <v>1</v>
      </c>
      <c r="K27">
        <f t="shared" si="3"/>
        <v>0.775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D2" sqref="D2:D27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202</v>
      </c>
      <c r="C2">
        <v>259</v>
      </c>
      <c r="D2">
        <v>0</v>
      </c>
      <c r="E2">
        <v>432</v>
      </c>
      <c r="G2">
        <v>500</v>
      </c>
      <c r="H2">
        <f>B2/A2</f>
        <v>0.404</v>
      </c>
      <c r="I2">
        <f>C2/A2</f>
        <v>0.518</v>
      </c>
      <c r="J2">
        <f>D2/A2</f>
        <v>0</v>
      </c>
      <c r="K2">
        <f>E2/A2</f>
        <v>0.864</v>
      </c>
    </row>
    <row r="3" spans="1:11">
      <c r="A3">
        <v>520</v>
      </c>
      <c r="B3">
        <v>213</v>
      </c>
      <c r="C3">
        <v>274</v>
      </c>
      <c r="D3">
        <v>0</v>
      </c>
      <c r="E3">
        <v>452</v>
      </c>
      <c r="G3">
        <v>520</v>
      </c>
      <c r="H3">
        <f t="shared" ref="H3:H27" si="0">B3/A3</f>
        <v>0.409615384615385</v>
      </c>
      <c r="I3">
        <f t="shared" ref="I3:I27" si="1">C3/A3</f>
        <v>0.526923076923077</v>
      </c>
      <c r="J3">
        <f t="shared" ref="J3:J27" si="2">D3/A3</f>
        <v>0</v>
      </c>
      <c r="K3">
        <f t="shared" ref="K3:K27" si="3">E3/A3</f>
        <v>0.869230769230769</v>
      </c>
    </row>
    <row r="4" spans="1:11">
      <c r="A4">
        <v>540</v>
      </c>
      <c r="B4">
        <v>222</v>
      </c>
      <c r="C4">
        <v>286</v>
      </c>
      <c r="D4">
        <v>0</v>
      </c>
      <c r="E4">
        <v>469</v>
      </c>
      <c r="G4">
        <v>540</v>
      </c>
      <c r="H4">
        <f t="shared" si="0"/>
        <v>0.411111111111111</v>
      </c>
      <c r="I4">
        <f t="shared" si="1"/>
        <v>0.52962962962963</v>
      </c>
      <c r="J4">
        <f t="shared" si="2"/>
        <v>0</v>
      </c>
      <c r="K4">
        <f t="shared" si="3"/>
        <v>0.868518518518518</v>
      </c>
    </row>
    <row r="5" spans="1:11">
      <c r="A5">
        <v>560</v>
      </c>
      <c r="B5">
        <v>233</v>
      </c>
      <c r="C5">
        <v>296</v>
      </c>
      <c r="D5">
        <v>0</v>
      </c>
      <c r="E5">
        <v>485</v>
      </c>
      <c r="G5">
        <v>560</v>
      </c>
      <c r="H5">
        <f t="shared" si="0"/>
        <v>0.416071428571429</v>
      </c>
      <c r="I5">
        <f t="shared" si="1"/>
        <v>0.528571428571429</v>
      </c>
      <c r="J5">
        <f t="shared" si="2"/>
        <v>0</v>
      </c>
      <c r="K5">
        <f t="shared" si="3"/>
        <v>0.866071428571429</v>
      </c>
    </row>
    <row r="6" spans="1:11">
      <c r="A6">
        <v>580</v>
      </c>
      <c r="B6">
        <v>253</v>
      </c>
      <c r="C6">
        <v>303</v>
      </c>
      <c r="D6">
        <v>0</v>
      </c>
      <c r="E6">
        <v>503</v>
      </c>
      <c r="G6">
        <v>580</v>
      </c>
      <c r="H6">
        <f t="shared" si="0"/>
        <v>0.436206896551724</v>
      </c>
      <c r="I6">
        <f t="shared" si="1"/>
        <v>0.522413793103448</v>
      </c>
      <c r="J6">
        <f t="shared" si="2"/>
        <v>0</v>
      </c>
      <c r="K6">
        <f t="shared" si="3"/>
        <v>0.867241379310345</v>
      </c>
    </row>
    <row r="7" spans="1:11">
      <c r="A7">
        <v>600</v>
      </c>
      <c r="B7">
        <v>273</v>
      </c>
      <c r="C7">
        <v>315</v>
      </c>
      <c r="D7">
        <v>0</v>
      </c>
      <c r="E7">
        <v>521</v>
      </c>
      <c r="G7">
        <v>600</v>
      </c>
      <c r="H7">
        <f t="shared" si="0"/>
        <v>0.455</v>
      </c>
      <c r="I7">
        <f t="shared" si="1"/>
        <v>0.525</v>
      </c>
      <c r="J7">
        <f t="shared" si="2"/>
        <v>0</v>
      </c>
      <c r="K7">
        <f t="shared" si="3"/>
        <v>0.868333333333333</v>
      </c>
    </row>
    <row r="8" spans="1:11">
      <c r="A8">
        <v>620</v>
      </c>
      <c r="B8">
        <v>285</v>
      </c>
      <c r="C8">
        <v>329</v>
      </c>
      <c r="D8">
        <v>0</v>
      </c>
      <c r="E8">
        <v>538</v>
      </c>
      <c r="G8">
        <v>620</v>
      </c>
      <c r="H8">
        <f t="shared" si="0"/>
        <v>0.459677419354839</v>
      </c>
      <c r="I8">
        <f t="shared" si="1"/>
        <v>0.530645161290323</v>
      </c>
      <c r="J8">
        <f t="shared" si="2"/>
        <v>0</v>
      </c>
      <c r="K8">
        <f t="shared" si="3"/>
        <v>0.867741935483871</v>
      </c>
    </row>
    <row r="9" spans="1:11">
      <c r="A9">
        <v>640</v>
      </c>
      <c r="B9">
        <v>293</v>
      </c>
      <c r="C9">
        <v>339</v>
      </c>
      <c r="D9">
        <v>0</v>
      </c>
      <c r="E9">
        <v>555</v>
      </c>
      <c r="G9">
        <v>640</v>
      </c>
      <c r="H9">
        <f t="shared" si="0"/>
        <v>0.4578125</v>
      </c>
      <c r="I9">
        <f t="shared" si="1"/>
        <v>0.5296875</v>
      </c>
      <c r="J9">
        <f t="shared" si="2"/>
        <v>0</v>
      </c>
      <c r="K9">
        <f t="shared" si="3"/>
        <v>0.8671875</v>
      </c>
    </row>
    <row r="10" spans="1:11">
      <c r="A10">
        <v>660</v>
      </c>
      <c r="B10">
        <v>298</v>
      </c>
      <c r="C10">
        <v>344</v>
      </c>
      <c r="D10">
        <v>0</v>
      </c>
      <c r="E10">
        <v>572</v>
      </c>
      <c r="G10">
        <v>660</v>
      </c>
      <c r="H10">
        <f t="shared" si="0"/>
        <v>0.451515151515152</v>
      </c>
      <c r="I10">
        <f t="shared" si="1"/>
        <v>0.521212121212121</v>
      </c>
      <c r="J10">
        <f t="shared" si="2"/>
        <v>0</v>
      </c>
      <c r="K10">
        <f t="shared" si="3"/>
        <v>0.866666666666667</v>
      </c>
    </row>
    <row r="11" spans="1:11">
      <c r="A11">
        <v>680</v>
      </c>
      <c r="B11">
        <v>302</v>
      </c>
      <c r="C11">
        <v>354</v>
      </c>
      <c r="D11">
        <v>0</v>
      </c>
      <c r="E11">
        <v>590</v>
      </c>
      <c r="G11">
        <v>680</v>
      </c>
      <c r="H11">
        <f t="shared" si="0"/>
        <v>0.444117647058824</v>
      </c>
      <c r="I11">
        <f t="shared" si="1"/>
        <v>0.520588235294118</v>
      </c>
      <c r="J11">
        <f t="shared" si="2"/>
        <v>0</v>
      </c>
      <c r="K11">
        <f t="shared" si="3"/>
        <v>0.867647058823529</v>
      </c>
    </row>
    <row r="12" spans="1:11">
      <c r="A12">
        <v>700</v>
      </c>
      <c r="B12">
        <v>303</v>
      </c>
      <c r="C12">
        <v>365</v>
      </c>
      <c r="D12">
        <v>0</v>
      </c>
      <c r="E12">
        <v>607</v>
      </c>
      <c r="G12">
        <v>700</v>
      </c>
      <c r="H12">
        <f t="shared" si="0"/>
        <v>0.432857142857143</v>
      </c>
      <c r="I12">
        <f t="shared" si="1"/>
        <v>0.521428571428571</v>
      </c>
      <c r="J12">
        <f t="shared" si="2"/>
        <v>0</v>
      </c>
      <c r="K12">
        <f t="shared" si="3"/>
        <v>0.867142857142857</v>
      </c>
    </row>
    <row r="13" spans="1:11">
      <c r="A13">
        <v>720</v>
      </c>
      <c r="B13">
        <v>314</v>
      </c>
      <c r="C13">
        <v>377</v>
      </c>
      <c r="D13">
        <v>0</v>
      </c>
      <c r="E13">
        <v>624</v>
      </c>
      <c r="G13">
        <v>720</v>
      </c>
      <c r="H13">
        <f t="shared" si="0"/>
        <v>0.436111111111111</v>
      </c>
      <c r="I13">
        <f t="shared" si="1"/>
        <v>0.523611111111111</v>
      </c>
      <c r="J13">
        <f t="shared" si="2"/>
        <v>0</v>
      </c>
      <c r="K13">
        <f t="shared" si="3"/>
        <v>0.866666666666667</v>
      </c>
    </row>
    <row r="14" spans="1:11">
      <c r="A14">
        <v>740</v>
      </c>
      <c r="B14">
        <v>323</v>
      </c>
      <c r="C14">
        <v>389</v>
      </c>
      <c r="D14">
        <v>0</v>
      </c>
      <c r="E14">
        <v>640</v>
      </c>
      <c r="G14">
        <v>740</v>
      </c>
      <c r="H14">
        <f t="shared" si="0"/>
        <v>0.436486486486486</v>
      </c>
      <c r="I14">
        <f t="shared" si="1"/>
        <v>0.525675675675676</v>
      </c>
      <c r="J14">
        <f t="shared" si="2"/>
        <v>0</v>
      </c>
      <c r="K14">
        <f t="shared" si="3"/>
        <v>0.864864864864865</v>
      </c>
    </row>
    <row r="15" spans="1:11">
      <c r="A15">
        <v>760</v>
      </c>
      <c r="B15">
        <v>327</v>
      </c>
      <c r="C15">
        <v>402</v>
      </c>
      <c r="D15">
        <v>0</v>
      </c>
      <c r="E15">
        <v>657</v>
      </c>
      <c r="G15">
        <v>760</v>
      </c>
      <c r="H15">
        <f t="shared" si="0"/>
        <v>0.430263157894737</v>
      </c>
      <c r="I15">
        <f t="shared" si="1"/>
        <v>0.528947368421053</v>
      </c>
      <c r="J15">
        <f t="shared" si="2"/>
        <v>0</v>
      </c>
      <c r="K15">
        <f t="shared" si="3"/>
        <v>0.864473684210526</v>
      </c>
    </row>
    <row r="16" spans="1:11">
      <c r="A16">
        <v>780</v>
      </c>
      <c r="B16">
        <v>344</v>
      </c>
      <c r="C16">
        <v>412</v>
      </c>
      <c r="D16">
        <v>0</v>
      </c>
      <c r="E16">
        <v>676</v>
      </c>
      <c r="G16">
        <v>780</v>
      </c>
      <c r="H16">
        <f t="shared" si="0"/>
        <v>0.441025641025641</v>
      </c>
      <c r="I16">
        <f t="shared" si="1"/>
        <v>0.528205128205128</v>
      </c>
      <c r="J16">
        <f t="shared" si="2"/>
        <v>0</v>
      </c>
      <c r="K16">
        <f t="shared" si="3"/>
        <v>0.866666666666667</v>
      </c>
    </row>
    <row r="17" spans="1:11">
      <c r="A17">
        <v>800</v>
      </c>
      <c r="B17">
        <v>364</v>
      </c>
      <c r="C17">
        <v>426</v>
      </c>
      <c r="D17">
        <v>0</v>
      </c>
      <c r="E17">
        <v>693</v>
      </c>
      <c r="G17">
        <v>800</v>
      </c>
      <c r="H17">
        <f t="shared" si="0"/>
        <v>0.455</v>
      </c>
      <c r="I17">
        <f t="shared" si="1"/>
        <v>0.5325</v>
      </c>
      <c r="J17">
        <f t="shared" si="2"/>
        <v>0</v>
      </c>
      <c r="K17">
        <f t="shared" si="3"/>
        <v>0.86625</v>
      </c>
    </row>
    <row r="18" spans="1:11">
      <c r="A18">
        <v>820</v>
      </c>
      <c r="B18">
        <v>376</v>
      </c>
      <c r="C18">
        <v>433</v>
      </c>
      <c r="D18">
        <v>0</v>
      </c>
      <c r="E18">
        <v>710</v>
      </c>
      <c r="G18">
        <v>820</v>
      </c>
      <c r="H18">
        <f t="shared" si="0"/>
        <v>0.458536585365854</v>
      </c>
      <c r="I18">
        <f t="shared" si="1"/>
        <v>0.528048780487805</v>
      </c>
      <c r="J18">
        <f t="shared" si="2"/>
        <v>0</v>
      </c>
      <c r="K18">
        <f t="shared" si="3"/>
        <v>0.865853658536585</v>
      </c>
    </row>
    <row r="19" spans="1:11">
      <c r="A19">
        <v>840</v>
      </c>
      <c r="B19">
        <v>388</v>
      </c>
      <c r="C19">
        <v>443</v>
      </c>
      <c r="D19">
        <v>0</v>
      </c>
      <c r="E19">
        <v>727</v>
      </c>
      <c r="G19">
        <v>840</v>
      </c>
      <c r="H19">
        <f t="shared" si="0"/>
        <v>0.461904761904762</v>
      </c>
      <c r="I19">
        <f t="shared" si="1"/>
        <v>0.527380952380952</v>
      </c>
      <c r="J19">
        <f t="shared" si="2"/>
        <v>0</v>
      </c>
      <c r="K19">
        <f t="shared" si="3"/>
        <v>0.865476190476191</v>
      </c>
    </row>
    <row r="20" spans="1:11">
      <c r="A20">
        <v>860</v>
      </c>
      <c r="B20">
        <v>395</v>
      </c>
      <c r="C20">
        <v>451</v>
      </c>
      <c r="D20">
        <v>0</v>
      </c>
      <c r="E20">
        <v>744</v>
      </c>
      <c r="G20">
        <v>860</v>
      </c>
      <c r="H20">
        <f t="shared" si="0"/>
        <v>0.459302325581395</v>
      </c>
      <c r="I20">
        <f t="shared" si="1"/>
        <v>0.524418604651163</v>
      </c>
      <c r="J20">
        <f t="shared" si="2"/>
        <v>0</v>
      </c>
      <c r="K20">
        <f t="shared" si="3"/>
        <v>0.865116279069767</v>
      </c>
    </row>
    <row r="21" spans="1:11">
      <c r="A21">
        <v>880</v>
      </c>
      <c r="B21">
        <v>401</v>
      </c>
      <c r="C21">
        <v>461</v>
      </c>
      <c r="D21">
        <v>0</v>
      </c>
      <c r="E21">
        <v>763</v>
      </c>
      <c r="G21">
        <v>880</v>
      </c>
      <c r="H21">
        <f t="shared" si="0"/>
        <v>0.455681818181818</v>
      </c>
      <c r="I21">
        <f t="shared" si="1"/>
        <v>0.523863636363636</v>
      </c>
      <c r="J21">
        <f t="shared" si="2"/>
        <v>0</v>
      </c>
      <c r="K21">
        <f t="shared" si="3"/>
        <v>0.867045454545455</v>
      </c>
    </row>
    <row r="22" spans="1:11">
      <c r="A22">
        <v>900</v>
      </c>
      <c r="B22">
        <v>404</v>
      </c>
      <c r="C22">
        <v>472</v>
      </c>
      <c r="D22">
        <v>0</v>
      </c>
      <c r="E22">
        <v>780</v>
      </c>
      <c r="G22">
        <v>900</v>
      </c>
      <c r="H22">
        <f t="shared" si="0"/>
        <v>0.448888888888889</v>
      </c>
      <c r="I22">
        <f t="shared" si="1"/>
        <v>0.524444444444444</v>
      </c>
      <c r="J22">
        <f t="shared" si="2"/>
        <v>0</v>
      </c>
      <c r="K22">
        <f t="shared" si="3"/>
        <v>0.866666666666667</v>
      </c>
    </row>
    <row r="23" spans="1:11">
      <c r="A23">
        <v>920</v>
      </c>
      <c r="B23">
        <v>415</v>
      </c>
      <c r="C23">
        <v>485</v>
      </c>
      <c r="D23">
        <v>0</v>
      </c>
      <c r="E23">
        <v>797</v>
      </c>
      <c r="G23">
        <v>920</v>
      </c>
      <c r="H23">
        <f t="shared" si="0"/>
        <v>0.451086956521739</v>
      </c>
      <c r="I23">
        <f t="shared" si="1"/>
        <v>0.527173913043478</v>
      </c>
      <c r="J23">
        <f t="shared" si="2"/>
        <v>0</v>
      </c>
      <c r="K23">
        <f t="shared" si="3"/>
        <v>0.866304347826087</v>
      </c>
    </row>
    <row r="24" spans="1:11">
      <c r="A24">
        <v>940</v>
      </c>
      <c r="B24">
        <v>422</v>
      </c>
      <c r="C24">
        <v>494</v>
      </c>
      <c r="D24">
        <v>0</v>
      </c>
      <c r="E24">
        <v>814</v>
      </c>
      <c r="G24">
        <v>940</v>
      </c>
      <c r="H24">
        <f t="shared" si="0"/>
        <v>0.448936170212766</v>
      </c>
      <c r="I24">
        <f t="shared" si="1"/>
        <v>0.525531914893617</v>
      </c>
      <c r="J24">
        <f t="shared" si="2"/>
        <v>0</v>
      </c>
      <c r="K24">
        <f t="shared" si="3"/>
        <v>0.865957446808511</v>
      </c>
    </row>
    <row r="25" spans="1:11">
      <c r="A25">
        <v>960</v>
      </c>
      <c r="B25">
        <v>428</v>
      </c>
      <c r="C25">
        <v>507</v>
      </c>
      <c r="D25">
        <v>0</v>
      </c>
      <c r="E25">
        <v>831</v>
      </c>
      <c r="G25">
        <v>960</v>
      </c>
      <c r="H25">
        <f t="shared" si="0"/>
        <v>0.445833333333333</v>
      </c>
      <c r="I25">
        <f t="shared" si="1"/>
        <v>0.528125</v>
      </c>
      <c r="J25">
        <f t="shared" si="2"/>
        <v>0</v>
      </c>
      <c r="K25">
        <f t="shared" si="3"/>
        <v>0.865625</v>
      </c>
    </row>
    <row r="26" spans="1:11">
      <c r="A26">
        <v>980</v>
      </c>
      <c r="B26">
        <v>435</v>
      </c>
      <c r="C26">
        <v>521</v>
      </c>
      <c r="D26">
        <v>0</v>
      </c>
      <c r="E26">
        <v>850</v>
      </c>
      <c r="G26">
        <v>980</v>
      </c>
      <c r="H26">
        <f t="shared" si="0"/>
        <v>0.443877551020408</v>
      </c>
      <c r="I26">
        <f t="shared" si="1"/>
        <v>0.531632653061225</v>
      </c>
      <c r="J26">
        <f t="shared" si="2"/>
        <v>0</v>
      </c>
      <c r="K26">
        <f t="shared" si="3"/>
        <v>0.86734693877551</v>
      </c>
    </row>
    <row r="27" spans="1:11">
      <c r="A27">
        <v>1000</v>
      </c>
      <c r="B27">
        <v>455</v>
      </c>
      <c r="C27">
        <v>531</v>
      </c>
      <c r="D27">
        <v>0</v>
      </c>
      <c r="E27">
        <v>867</v>
      </c>
      <c r="G27">
        <v>1000</v>
      </c>
      <c r="H27">
        <f t="shared" si="0"/>
        <v>0.455</v>
      </c>
      <c r="I27">
        <f t="shared" si="1"/>
        <v>0.531</v>
      </c>
      <c r="J27">
        <f t="shared" si="2"/>
        <v>0</v>
      </c>
      <c r="K27">
        <f t="shared" si="3"/>
        <v>0.867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topLeftCell="A4" workbookViewId="0">
      <selection activeCell="J29" sqref="J29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202</v>
      </c>
      <c r="C2">
        <v>258</v>
      </c>
      <c r="D2">
        <v>0</v>
      </c>
      <c r="E2">
        <v>368</v>
      </c>
      <c r="G2">
        <v>500</v>
      </c>
      <c r="H2">
        <f>B2/A2</f>
        <v>0.404</v>
      </c>
      <c r="I2">
        <f>C2/A2</f>
        <v>0.516</v>
      </c>
      <c r="J2">
        <f>D2/A2</f>
        <v>0</v>
      </c>
      <c r="K2">
        <f>E2/A2</f>
        <v>0.736</v>
      </c>
    </row>
    <row r="3" spans="1:11">
      <c r="A3">
        <v>520</v>
      </c>
      <c r="B3">
        <v>222</v>
      </c>
      <c r="C3">
        <v>267</v>
      </c>
      <c r="D3">
        <v>0</v>
      </c>
      <c r="E3">
        <v>381</v>
      </c>
      <c r="G3">
        <v>520</v>
      </c>
      <c r="H3">
        <f t="shared" ref="H3:H27" si="0">B3/A3</f>
        <v>0.426923076923077</v>
      </c>
      <c r="I3">
        <f t="shared" ref="I3:I27" si="1">C3/A3</f>
        <v>0.513461538461538</v>
      </c>
      <c r="J3">
        <f t="shared" ref="J3:J27" si="2">D3/A3</f>
        <v>0</v>
      </c>
      <c r="K3">
        <f t="shared" ref="K3:K27" si="3">E3/A3</f>
        <v>0.732692307692308</v>
      </c>
    </row>
    <row r="4" spans="1:11">
      <c r="A4">
        <v>540</v>
      </c>
      <c r="B4">
        <v>237</v>
      </c>
      <c r="C4">
        <v>277</v>
      </c>
      <c r="D4">
        <v>0</v>
      </c>
      <c r="E4">
        <v>395</v>
      </c>
      <c r="G4">
        <v>540</v>
      </c>
      <c r="H4">
        <f t="shared" si="0"/>
        <v>0.438888888888889</v>
      </c>
      <c r="I4">
        <f t="shared" si="1"/>
        <v>0.512962962962963</v>
      </c>
      <c r="J4">
        <f t="shared" si="2"/>
        <v>0</v>
      </c>
      <c r="K4">
        <f t="shared" si="3"/>
        <v>0.731481481481482</v>
      </c>
    </row>
    <row r="5" spans="1:11">
      <c r="A5">
        <v>560</v>
      </c>
      <c r="B5">
        <v>250</v>
      </c>
      <c r="C5">
        <v>284</v>
      </c>
      <c r="D5">
        <v>0</v>
      </c>
      <c r="E5">
        <v>414</v>
      </c>
      <c r="G5">
        <v>560</v>
      </c>
      <c r="H5">
        <f t="shared" si="0"/>
        <v>0.446428571428571</v>
      </c>
      <c r="I5">
        <f t="shared" si="1"/>
        <v>0.507142857142857</v>
      </c>
      <c r="J5">
        <f t="shared" si="2"/>
        <v>0</v>
      </c>
      <c r="K5">
        <f t="shared" si="3"/>
        <v>0.739285714285714</v>
      </c>
    </row>
    <row r="6" spans="1:11">
      <c r="A6">
        <v>580</v>
      </c>
      <c r="B6">
        <v>268</v>
      </c>
      <c r="C6">
        <v>295</v>
      </c>
      <c r="D6">
        <v>0</v>
      </c>
      <c r="E6">
        <v>428</v>
      </c>
      <c r="G6">
        <v>580</v>
      </c>
      <c r="H6">
        <f t="shared" si="0"/>
        <v>0.462068965517241</v>
      </c>
      <c r="I6">
        <f t="shared" si="1"/>
        <v>0.508620689655172</v>
      </c>
      <c r="J6">
        <f t="shared" si="2"/>
        <v>0</v>
      </c>
      <c r="K6">
        <f t="shared" si="3"/>
        <v>0.737931034482759</v>
      </c>
    </row>
    <row r="7" spans="1:11">
      <c r="A7">
        <v>600</v>
      </c>
      <c r="B7">
        <v>288</v>
      </c>
      <c r="C7">
        <v>301</v>
      </c>
      <c r="D7">
        <v>0</v>
      </c>
      <c r="E7">
        <v>442</v>
      </c>
      <c r="G7">
        <v>600</v>
      </c>
      <c r="H7">
        <f t="shared" si="0"/>
        <v>0.48</v>
      </c>
      <c r="I7">
        <f t="shared" si="1"/>
        <v>0.501666666666667</v>
      </c>
      <c r="J7">
        <f t="shared" si="2"/>
        <v>0</v>
      </c>
      <c r="K7">
        <f t="shared" si="3"/>
        <v>0.736666666666667</v>
      </c>
    </row>
    <row r="8" spans="1:11">
      <c r="A8">
        <v>620</v>
      </c>
      <c r="B8">
        <v>294</v>
      </c>
      <c r="C8">
        <v>315</v>
      </c>
      <c r="D8">
        <v>0</v>
      </c>
      <c r="E8">
        <v>461</v>
      </c>
      <c r="G8">
        <v>620</v>
      </c>
      <c r="H8">
        <f t="shared" si="0"/>
        <v>0.474193548387097</v>
      </c>
      <c r="I8">
        <f t="shared" si="1"/>
        <v>0.508064516129032</v>
      </c>
      <c r="J8">
        <f t="shared" si="2"/>
        <v>0</v>
      </c>
      <c r="K8">
        <f t="shared" si="3"/>
        <v>0.743548387096774</v>
      </c>
    </row>
    <row r="9" spans="1:11">
      <c r="A9">
        <v>640</v>
      </c>
      <c r="B9">
        <v>297</v>
      </c>
      <c r="C9">
        <v>322</v>
      </c>
      <c r="D9">
        <v>0</v>
      </c>
      <c r="E9">
        <v>475</v>
      </c>
      <c r="G9">
        <v>640</v>
      </c>
      <c r="H9">
        <f t="shared" si="0"/>
        <v>0.4640625</v>
      </c>
      <c r="I9">
        <f t="shared" si="1"/>
        <v>0.503125</v>
      </c>
      <c r="J9">
        <f t="shared" si="2"/>
        <v>0</v>
      </c>
      <c r="K9">
        <f t="shared" si="3"/>
        <v>0.7421875</v>
      </c>
    </row>
    <row r="10" spans="1:11">
      <c r="A10">
        <v>660</v>
      </c>
      <c r="B10">
        <v>303</v>
      </c>
      <c r="C10">
        <v>332</v>
      </c>
      <c r="D10">
        <v>0</v>
      </c>
      <c r="E10">
        <v>486</v>
      </c>
      <c r="G10">
        <v>660</v>
      </c>
      <c r="H10">
        <f t="shared" si="0"/>
        <v>0.459090909090909</v>
      </c>
      <c r="I10">
        <f t="shared" si="1"/>
        <v>0.503030303030303</v>
      </c>
      <c r="J10">
        <f t="shared" si="2"/>
        <v>0</v>
      </c>
      <c r="K10">
        <f t="shared" si="3"/>
        <v>0.736363636363636</v>
      </c>
    </row>
    <row r="11" spans="1:11">
      <c r="A11">
        <v>680</v>
      </c>
      <c r="B11">
        <v>303</v>
      </c>
      <c r="C11">
        <v>342</v>
      </c>
      <c r="D11">
        <v>0</v>
      </c>
      <c r="E11">
        <v>500</v>
      </c>
      <c r="G11">
        <v>680</v>
      </c>
      <c r="H11">
        <f t="shared" si="0"/>
        <v>0.445588235294118</v>
      </c>
      <c r="I11">
        <f t="shared" si="1"/>
        <v>0.502941176470588</v>
      </c>
      <c r="J11">
        <f t="shared" si="2"/>
        <v>0</v>
      </c>
      <c r="K11">
        <f t="shared" si="3"/>
        <v>0.735294117647059</v>
      </c>
    </row>
    <row r="12" spans="1:11">
      <c r="A12">
        <v>700</v>
      </c>
      <c r="B12">
        <v>304</v>
      </c>
      <c r="C12">
        <v>349</v>
      </c>
      <c r="D12">
        <v>0</v>
      </c>
      <c r="E12">
        <v>514</v>
      </c>
      <c r="G12">
        <v>700</v>
      </c>
      <c r="H12">
        <f t="shared" si="0"/>
        <v>0.434285714285714</v>
      </c>
      <c r="I12">
        <f t="shared" si="1"/>
        <v>0.498571428571429</v>
      </c>
      <c r="J12">
        <f t="shared" si="2"/>
        <v>0</v>
      </c>
      <c r="K12">
        <f t="shared" si="3"/>
        <v>0.734285714285714</v>
      </c>
    </row>
    <row r="13" spans="1:11">
      <c r="A13">
        <v>720</v>
      </c>
      <c r="B13">
        <v>322</v>
      </c>
      <c r="C13">
        <v>361</v>
      </c>
      <c r="D13">
        <v>0</v>
      </c>
      <c r="E13">
        <v>532</v>
      </c>
      <c r="G13">
        <v>720</v>
      </c>
      <c r="H13">
        <f t="shared" si="0"/>
        <v>0.447222222222222</v>
      </c>
      <c r="I13">
        <f t="shared" si="1"/>
        <v>0.501388888888889</v>
      </c>
      <c r="J13">
        <f t="shared" si="2"/>
        <v>0</v>
      </c>
      <c r="K13">
        <f t="shared" si="3"/>
        <v>0.738888888888889</v>
      </c>
    </row>
    <row r="14" spans="1:11">
      <c r="A14">
        <v>740</v>
      </c>
      <c r="B14">
        <v>336</v>
      </c>
      <c r="C14">
        <v>372</v>
      </c>
      <c r="D14">
        <v>0</v>
      </c>
      <c r="E14">
        <v>546</v>
      </c>
      <c r="G14">
        <v>740</v>
      </c>
      <c r="H14">
        <f t="shared" si="0"/>
        <v>0.454054054054054</v>
      </c>
      <c r="I14">
        <f t="shared" si="1"/>
        <v>0.502702702702703</v>
      </c>
      <c r="J14">
        <f t="shared" si="2"/>
        <v>0</v>
      </c>
      <c r="K14">
        <f t="shared" si="3"/>
        <v>0.737837837837838</v>
      </c>
    </row>
    <row r="15" spans="1:11">
      <c r="A15">
        <v>760</v>
      </c>
      <c r="B15">
        <v>350</v>
      </c>
      <c r="C15">
        <v>377</v>
      </c>
      <c r="D15">
        <v>0</v>
      </c>
      <c r="E15">
        <v>557</v>
      </c>
      <c r="G15">
        <v>760</v>
      </c>
      <c r="H15">
        <f t="shared" si="0"/>
        <v>0.460526315789474</v>
      </c>
      <c r="I15">
        <f t="shared" si="1"/>
        <v>0.496052631578947</v>
      </c>
      <c r="J15">
        <f t="shared" si="2"/>
        <v>0</v>
      </c>
      <c r="K15">
        <f t="shared" si="3"/>
        <v>0.732894736842105</v>
      </c>
    </row>
    <row r="16" spans="1:11">
      <c r="A16">
        <v>780</v>
      </c>
      <c r="B16">
        <v>366</v>
      </c>
      <c r="C16">
        <v>387</v>
      </c>
      <c r="D16">
        <v>0</v>
      </c>
      <c r="E16">
        <v>577</v>
      </c>
      <c r="G16">
        <v>780</v>
      </c>
      <c r="H16">
        <f t="shared" si="0"/>
        <v>0.469230769230769</v>
      </c>
      <c r="I16">
        <f t="shared" si="1"/>
        <v>0.496153846153846</v>
      </c>
      <c r="J16">
        <f t="shared" si="2"/>
        <v>0</v>
      </c>
      <c r="K16">
        <f t="shared" si="3"/>
        <v>0.73974358974359</v>
      </c>
    </row>
    <row r="17" spans="1:11">
      <c r="A17">
        <v>800</v>
      </c>
      <c r="B17">
        <v>383</v>
      </c>
      <c r="C17">
        <v>398</v>
      </c>
      <c r="D17">
        <v>0</v>
      </c>
      <c r="E17">
        <v>591</v>
      </c>
      <c r="G17">
        <v>800</v>
      </c>
      <c r="H17">
        <f t="shared" si="0"/>
        <v>0.47875</v>
      </c>
      <c r="I17">
        <f t="shared" si="1"/>
        <v>0.4975</v>
      </c>
      <c r="J17">
        <f t="shared" si="2"/>
        <v>0</v>
      </c>
      <c r="K17">
        <f t="shared" si="3"/>
        <v>0.73875</v>
      </c>
    </row>
    <row r="18" spans="1:11">
      <c r="A18">
        <v>820</v>
      </c>
      <c r="B18">
        <v>390</v>
      </c>
      <c r="C18">
        <v>407</v>
      </c>
      <c r="D18">
        <v>0</v>
      </c>
      <c r="E18">
        <v>604</v>
      </c>
      <c r="G18">
        <v>820</v>
      </c>
      <c r="H18">
        <f t="shared" si="0"/>
        <v>0.475609756097561</v>
      </c>
      <c r="I18">
        <f t="shared" si="1"/>
        <v>0.496341463414634</v>
      </c>
      <c r="J18">
        <f t="shared" si="2"/>
        <v>0</v>
      </c>
      <c r="K18">
        <f t="shared" si="3"/>
        <v>0.736585365853659</v>
      </c>
    </row>
    <row r="19" spans="1:11">
      <c r="A19">
        <v>840</v>
      </c>
      <c r="B19">
        <v>395</v>
      </c>
      <c r="C19">
        <v>419</v>
      </c>
      <c r="D19">
        <v>0</v>
      </c>
      <c r="E19">
        <v>618</v>
      </c>
      <c r="G19">
        <v>840</v>
      </c>
      <c r="H19">
        <f t="shared" si="0"/>
        <v>0.470238095238095</v>
      </c>
      <c r="I19">
        <f t="shared" si="1"/>
        <v>0.498809523809524</v>
      </c>
      <c r="J19">
        <f t="shared" si="2"/>
        <v>0</v>
      </c>
      <c r="K19">
        <f t="shared" si="3"/>
        <v>0.735714285714286</v>
      </c>
    </row>
    <row r="20" spans="1:11">
      <c r="A20">
        <v>860</v>
      </c>
      <c r="B20">
        <v>402</v>
      </c>
      <c r="C20">
        <v>428</v>
      </c>
      <c r="D20">
        <v>0</v>
      </c>
      <c r="E20">
        <v>634</v>
      </c>
      <c r="G20">
        <v>860</v>
      </c>
      <c r="H20">
        <f t="shared" si="0"/>
        <v>0.467441860465116</v>
      </c>
      <c r="I20">
        <f t="shared" si="1"/>
        <v>0.497674418604651</v>
      </c>
      <c r="J20">
        <f t="shared" si="2"/>
        <v>0</v>
      </c>
      <c r="K20">
        <f t="shared" si="3"/>
        <v>0.737209302325581</v>
      </c>
    </row>
    <row r="21" spans="1:11">
      <c r="A21">
        <v>880</v>
      </c>
      <c r="B21">
        <v>404</v>
      </c>
      <c r="C21">
        <v>436</v>
      </c>
      <c r="D21">
        <v>0</v>
      </c>
      <c r="E21">
        <v>648</v>
      </c>
      <c r="G21">
        <v>880</v>
      </c>
      <c r="H21">
        <f t="shared" si="0"/>
        <v>0.459090909090909</v>
      </c>
      <c r="I21">
        <f t="shared" si="1"/>
        <v>0.495454545454545</v>
      </c>
      <c r="J21">
        <f t="shared" si="2"/>
        <v>0</v>
      </c>
      <c r="K21">
        <f t="shared" si="3"/>
        <v>0.736363636363636</v>
      </c>
    </row>
    <row r="22" spans="1:11">
      <c r="A22">
        <v>900</v>
      </c>
      <c r="B22">
        <v>405</v>
      </c>
      <c r="C22">
        <v>443</v>
      </c>
      <c r="D22">
        <v>0</v>
      </c>
      <c r="E22">
        <v>662</v>
      </c>
      <c r="G22">
        <v>900</v>
      </c>
      <c r="H22">
        <f t="shared" si="0"/>
        <v>0.45</v>
      </c>
      <c r="I22">
        <f t="shared" si="1"/>
        <v>0.492222222222222</v>
      </c>
      <c r="J22">
        <f t="shared" si="2"/>
        <v>0</v>
      </c>
      <c r="K22">
        <f t="shared" si="3"/>
        <v>0.735555555555556</v>
      </c>
    </row>
    <row r="23" spans="1:11">
      <c r="A23">
        <v>920</v>
      </c>
      <c r="B23">
        <v>418</v>
      </c>
      <c r="C23">
        <v>454</v>
      </c>
      <c r="D23">
        <v>0</v>
      </c>
      <c r="E23">
        <v>682</v>
      </c>
      <c r="G23">
        <v>920</v>
      </c>
      <c r="H23">
        <f t="shared" si="0"/>
        <v>0.454347826086957</v>
      </c>
      <c r="I23">
        <f t="shared" si="1"/>
        <v>0.493478260869565</v>
      </c>
      <c r="J23">
        <f t="shared" si="2"/>
        <v>0</v>
      </c>
      <c r="K23">
        <f t="shared" si="3"/>
        <v>0.741304347826087</v>
      </c>
    </row>
    <row r="24" spans="1:11">
      <c r="A24">
        <v>940</v>
      </c>
      <c r="B24">
        <v>435</v>
      </c>
      <c r="C24">
        <v>463</v>
      </c>
      <c r="D24">
        <v>0</v>
      </c>
      <c r="E24">
        <v>696</v>
      </c>
      <c r="G24">
        <v>940</v>
      </c>
      <c r="H24">
        <f t="shared" si="0"/>
        <v>0.462765957446808</v>
      </c>
      <c r="I24">
        <f t="shared" si="1"/>
        <v>0.492553191489362</v>
      </c>
      <c r="J24">
        <f t="shared" si="2"/>
        <v>0</v>
      </c>
      <c r="K24">
        <f t="shared" si="3"/>
        <v>0.740425531914894</v>
      </c>
    </row>
    <row r="25" spans="1:11">
      <c r="A25">
        <v>960</v>
      </c>
      <c r="B25">
        <v>451</v>
      </c>
      <c r="C25">
        <v>472</v>
      </c>
      <c r="D25">
        <v>0</v>
      </c>
      <c r="E25">
        <v>710</v>
      </c>
      <c r="G25">
        <v>960</v>
      </c>
      <c r="H25">
        <f t="shared" si="0"/>
        <v>0.469791666666667</v>
      </c>
      <c r="I25">
        <f t="shared" si="1"/>
        <v>0.491666666666667</v>
      </c>
      <c r="J25">
        <f t="shared" si="2"/>
        <v>0</v>
      </c>
      <c r="K25">
        <f t="shared" si="3"/>
        <v>0.739583333333333</v>
      </c>
    </row>
    <row r="26" spans="1:11">
      <c r="A26">
        <v>980</v>
      </c>
      <c r="B26">
        <v>464</v>
      </c>
      <c r="C26">
        <v>481</v>
      </c>
      <c r="D26">
        <v>0</v>
      </c>
      <c r="E26">
        <v>730</v>
      </c>
      <c r="G26">
        <v>980</v>
      </c>
      <c r="H26">
        <f t="shared" si="0"/>
        <v>0.473469387755102</v>
      </c>
      <c r="I26">
        <f t="shared" si="1"/>
        <v>0.490816326530612</v>
      </c>
      <c r="J26">
        <f t="shared" si="2"/>
        <v>0</v>
      </c>
      <c r="K26">
        <f t="shared" si="3"/>
        <v>0.744897959183674</v>
      </c>
    </row>
    <row r="27" spans="1:11">
      <c r="A27">
        <v>1000</v>
      </c>
      <c r="B27">
        <v>478</v>
      </c>
      <c r="C27">
        <v>487</v>
      </c>
      <c r="D27">
        <v>0</v>
      </c>
      <c r="E27">
        <v>744</v>
      </c>
      <c r="G27">
        <v>1000</v>
      </c>
      <c r="H27">
        <f t="shared" si="0"/>
        <v>0.478</v>
      </c>
      <c r="I27">
        <f t="shared" si="1"/>
        <v>0.487</v>
      </c>
      <c r="J27">
        <f t="shared" si="2"/>
        <v>0</v>
      </c>
      <c r="K27">
        <f t="shared" si="3"/>
        <v>0.744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A19" workbookViewId="0">
      <selection activeCell="G50" sqref="G50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218</v>
      </c>
      <c r="C2">
        <v>257</v>
      </c>
      <c r="D2">
        <v>500</v>
      </c>
      <c r="E2">
        <v>405</v>
      </c>
      <c r="G2">
        <v>500</v>
      </c>
      <c r="H2">
        <f>B2/A2</f>
        <v>0.436</v>
      </c>
      <c r="I2">
        <f>C2/A2</f>
        <v>0.514</v>
      </c>
      <c r="J2">
        <f>D2/A2</f>
        <v>1</v>
      </c>
      <c r="K2">
        <f>E2/A2</f>
        <v>0.81</v>
      </c>
    </row>
    <row r="3" spans="1:11">
      <c r="A3">
        <v>520</v>
      </c>
      <c r="B3">
        <v>226</v>
      </c>
      <c r="C3">
        <v>269</v>
      </c>
      <c r="D3">
        <v>520</v>
      </c>
      <c r="E3">
        <v>422</v>
      </c>
      <c r="G3">
        <v>520</v>
      </c>
      <c r="H3">
        <f t="shared" ref="H3:H27" si="0">B3/A3</f>
        <v>0.434615384615385</v>
      </c>
      <c r="I3">
        <f t="shared" ref="I3:I27" si="1">C3/A3</f>
        <v>0.517307692307692</v>
      </c>
      <c r="J3">
        <f t="shared" ref="J3:J27" si="2">D3/A3</f>
        <v>1</v>
      </c>
      <c r="K3">
        <f t="shared" ref="K3:K27" si="3">E3/A3</f>
        <v>0.811538461538462</v>
      </c>
    </row>
    <row r="4" spans="1:11">
      <c r="A4">
        <v>540</v>
      </c>
      <c r="B4">
        <v>246</v>
      </c>
      <c r="C4">
        <v>278</v>
      </c>
      <c r="D4">
        <v>540</v>
      </c>
      <c r="E4">
        <v>439</v>
      </c>
      <c r="G4">
        <v>540</v>
      </c>
      <c r="H4">
        <f t="shared" si="0"/>
        <v>0.455555555555556</v>
      </c>
      <c r="I4">
        <f t="shared" si="1"/>
        <v>0.514814814814815</v>
      </c>
      <c r="J4">
        <f t="shared" si="2"/>
        <v>1</v>
      </c>
      <c r="K4">
        <f t="shared" si="3"/>
        <v>0.812962962962963</v>
      </c>
    </row>
    <row r="5" spans="1:11">
      <c r="A5">
        <v>560</v>
      </c>
      <c r="B5">
        <v>260</v>
      </c>
      <c r="C5">
        <v>286</v>
      </c>
      <c r="D5">
        <v>560</v>
      </c>
      <c r="E5">
        <v>454</v>
      </c>
      <c r="G5">
        <v>560</v>
      </c>
      <c r="H5">
        <f t="shared" si="0"/>
        <v>0.464285714285714</v>
      </c>
      <c r="I5">
        <f t="shared" si="1"/>
        <v>0.510714285714286</v>
      </c>
      <c r="J5">
        <f t="shared" si="2"/>
        <v>1</v>
      </c>
      <c r="K5">
        <f t="shared" si="3"/>
        <v>0.810714285714286</v>
      </c>
    </row>
    <row r="6" spans="1:11">
      <c r="A6">
        <v>580</v>
      </c>
      <c r="B6">
        <v>280</v>
      </c>
      <c r="C6">
        <v>297</v>
      </c>
      <c r="D6">
        <v>580</v>
      </c>
      <c r="E6">
        <v>469</v>
      </c>
      <c r="G6">
        <v>580</v>
      </c>
      <c r="H6">
        <f t="shared" si="0"/>
        <v>0.482758620689655</v>
      </c>
      <c r="I6">
        <f t="shared" si="1"/>
        <v>0.512068965517241</v>
      </c>
      <c r="J6">
        <f t="shared" si="2"/>
        <v>1</v>
      </c>
      <c r="K6">
        <f t="shared" si="3"/>
        <v>0.808620689655172</v>
      </c>
    </row>
    <row r="7" spans="1:11">
      <c r="A7">
        <v>600</v>
      </c>
      <c r="B7">
        <v>300</v>
      </c>
      <c r="C7">
        <v>310</v>
      </c>
      <c r="D7">
        <v>600</v>
      </c>
      <c r="E7">
        <v>488</v>
      </c>
      <c r="G7">
        <v>600</v>
      </c>
      <c r="H7">
        <f t="shared" si="0"/>
        <v>0.5</v>
      </c>
      <c r="I7">
        <f t="shared" si="1"/>
        <v>0.516666666666667</v>
      </c>
      <c r="J7">
        <f t="shared" si="2"/>
        <v>1</v>
      </c>
      <c r="K7">
        <f t="shared" si="3"/>
        <v>0.813333333333333</v>
      </c>
    </row>
    <row r="8" spans="1:11">
      <c r="A8">
        <v>620</v>
      </c>
      <c r="B8">
        <v>310</v>
      </c>
      <c r="C8">
        <v>320</v>
      </c>
      <c r="D8">
        <v>620</v>
      </c>
      <c r="E8">
        <v>502</v>
      </c>
      <c r="G8">
        <v>620</v>
      </c>
      <c r="H8">
        <f t="shared" si="0"/>
        <v>0.5</v>
      </c>
      <c r="I8">
        <f t="shared" si="1"/>
        <v>0.516129032258065</v>
      </c>
      <c r="J8">
        <f t="shared" si="2"/>
        <v>1</v>
      </c>
      <c r="K8">
        <f t="shared" si="3"/>
        <v>0.809677419354839</v>
      </c>
    </row>
    <row r="9" spans="1:11">
      <c r="A9">
        <v>640</v>
      </c>
      <c r="B9">
        <v>310</v>
      </c>
      <c r="C9">
        <v>329</v>
      </c>
      <c r="D9">
        <v>640</v>
      </c>
      <c r="E9">
        <v>518</v>
      </c>
      <c r="G9">
        <v>640</v>
      </c>
      <c r="H9">
        <f t="shared" si="0"/>
        <v>0.484375</v>
      </c>
      <c r="I9">
        <f t="shared" si="1"/>
        <v>0.5140625</v>
      </c>
      <c r="J9">
        <f t="shared" si="2"/>
        <v>1</v>
      </c>
      <c r="K9">
        <f t="shared" si="3"/>
        <v>0.809375</v>
      </c>
    </row>
    <row r="10" spans="1:11">
      <c r="A10">
        <v>660</v>
      </c>
      <c r="B10">
        <v>310</v>
      </c>
      <c r="C10">
        <v>338</v>
      </c>
      <c r="D10">
        <v>660</v>
      </c>
      <c r="E10">
        <v>537</v>
      </c>
      <c r="G10">
        <v>660</v>
      </c>
      <c r="H10">
        <f t="shared" si="0"/>
        <v>0.46969696969697</v>
      </c>
      <c r="I10">
        <f t="shared" si="1"/>
        <v>0.512121212121212</v>
      </c>
      <c r="J10">
        <f t="shared" si="2"/>
        <v>1</v>
      </c>
      <c r="K10">
        <f t="shared" si="3"/>
        <v>0.813636363636364</v>
      </c>
    </row>
    <row r="11" spans="1:11">
      <c r="A11">
        <v>680</v>
      </c>
      <c r="B11">
        <v>320</v>
      </c>
      <c r="C11">
        <v>350</v>
      </c>
      <c r="D11">
        <v>680</v>
      </c>
      <c r="E11">
        <v>555</v>
      </c>
      <c r="G11">
        <v>680</v>
      </c>
      <c r="H11">
        <f t="shared" si="0"/>
        <v>0.470588235294118</v>
      </c>
      <c r="I11">
        <f t="shared" si="1"/>
        <v>0.514705882352941</v>
      </c>
      <c r="J11">
        <f t="shared" si="2"/>
        <v>1</v>
      </c>
      <c r="K11">
        <f t="shared" si="3"/>
        <v>0.816176470588235</v>
      </c>
    </row>
    <row r="12" spans="1:11">
      <c r="A12">
        <v>700</v>
      </c>
      <c r="B12">
        <v>322</v>
      </c>
      <c r="C12">
        <v>357</v>
      </c>
      <c r="D12">
        <v>700</v>
      </c>
      <c r="E12">
        <v>569</v>
      </c>
      <c r="G12">
        <v>700</v>
      </c>
      <c r="H12">
        <f t="shared" si="0"/>
        <v>0.46</v>
      </c>
      <c r="I12">
        <f t="shared" si="1"/>
        <v>0.51</v>
      </c>
      <c r="J12">
        <f t="shared" si="2"/>
        <v>1</v>
      </c>
      <c r="K12">
        <f t="shared" si="3"/>
        <v>0.812857142857143</v>
      </c>
    </row>
    <row r="13" spans="1:11">
      <c r="A13">
        <v>720</v>
      </c>
      <c r="B13">
        <v>330</v>
      </c>
      <c r="C13">
        <v>371</v>
      </c>
      <c r="D13">
        <v>720</v>
      </c>
      <c r="E13">
        <v>584</v>
      </c>
      <c r="G13">
        <v>720</v>
      </c>
      <c r="H13">
        <f t="shared" si="0"/>
        <v>0.458333333333333</v>
      </c>
      <c r="I13">
        <f t="shared" si="1"/>
        <v>0.515277777777778</v>
      </c>
      <c r="J13">
        <f t="shared" si="2"/>
        <v>1</v>
      </c>
      <c r="K13">
        <f t="shared" si="3"/>
        <v>0.811111111111111</v>
      </c>
    </row>
    <row r="14" spans="1:11">
      <c r="A14">
        <v>740</v>
      </c>
      <c r="B14">
        <v>348</v>
      </c>
      <c r="C14">
        <v>384</v>
      </c>
      <c r="D14">
        <v>740</v>
      </c>
      <c r="E14">
        <v>601</v>
      </c>
      <c r="G14">
        <v>740</v>
      </c>
      <c r="H14">
        <f t="shared" si="0"/>
        <v>0.47027027027027</v>
      </c>
      <c r="I14">
        <f t="shared" si="1"/>
        <v>0.518918918918919</v>
      </c>
      <c r="J14">
        <f t="shared" si="2"/>
        <v>1</v>
      </c>
      <c r="K14">
        <f t="shared" si="3"/>
        <v>0.812162162162162</v>
      </c>
    </row>
    <row r="15" spans="1:11">
      <c r="A15">
        <v>760</v>
      </c>
      <c r="B15">
        <v>362</v>
      </c>
      <c r="C15">
        <v>392</v>
      </c>
      <c r="D15">
        <v>760</v>
      </c>
      <c r="E15">
        <v>617</v>
      </c>
      <c r="G15">
        <v>760</v>
      </c>
      <c r="H15">
        <f t="shared" si="0"/>
        <v>0.476315789473684</v>
      </c>
      <c r="I15">
        <f t="shared" si="1"/>
        <v>0.515789473684211</v>
      </c>
      <c r="J15">
        <f t="shared" si="2"/>
        <v>1</v>
      </c>
      <c r="K15">
        <f t="shared" si="3"/>
        <v>0.811842105263158</v>
      </c>
    </row>
    <row r="16" spans="1:11">
      <c r="A16">
        <v>780</v>
      </c>
      <c r="B16">
        <v>380</v>
      </c>
      <c r="C16">
        <v>401</v>
      </c>
      <c r="D16">
        <v>780</v>
      </c>
      <c r="E16">
        <v>633</v>
      </c>
      <c r="G16">
        <v>780</v>
      </c>
      <c r="H16">
        <f t="shared" si="0"/>
        <v>0.487179487179487</v>
      </c>
      <c r="I16">
        <f t="shared" si="1"/>
        <v>0.514102564102564</v>
      </c>
      <c r="J16">
        <f t="shared" si="2"/>
        <v>1</v>
      </c>
      <c r="K16">
        <f t="shared" si="3"/>
        <v>0.811538461538462</v>
      </c>
    </row>
    <row r="17" spans="1:11">
      <c r="A17">
        <v>800</v>
      </c>
      <c r="B17">
        <v>400</v>
      </c>
      <c r="C17">
        <v>409</v>
      </c>
      <c r="D17">
        <v>800</v>
      </c>
      <c r="E17">
        <v>650</v>
      </c>
      <c r="G17">
        <v>800</v>
      </c>
      <c r="H17">
        <f t="shared" si="0"/>
        <v>0.5</v>
      </c>
      <c r="I17">
        <f t="shared" si="1"/>
        <v>0.51125</v>
      </c>
      <c r="J17">
        <f t="shared" si="2"/>
        <v>1</v>
      </c>
      <c r="K17">
        <f t="shared" si="3"/>
        <v>0.8125</v>
      </c>
    </row>
    <row r="18" spans="1:11">
      <c r="A18">
        <v>820</v>
      </c>
      <c r="B18">
        <v>410</v>
      </c>
      <c r="C18">
        <v>424</v>
      </c>
      <c r="D18">
        <v>820</v>
      </c>
      <c r="E18">
        <v>665</v>
      </c>
      <c r="G18">
        <v>820</v>
      </c>
      <c r="H18">
        <f t="shared" si="0"/>
        <v>0.5</v>
      </c>
      <c r="I18">
        <f t="shared" si="1"/>
        <v>0.517073170731707</v>
      </c>
      <c r="J18">
        <f t="shared" si="2"/>
        <v>1</v>
      </c>
      <c r="K18">
        <f t="shared" si="3"/>
        <v>0.810975609756098</v>
      </c>
    </row>
    <row r="19" spans="1:11">
      <c r="A19">
        <v>840</v>
      </c>
      <c r="B19">
        <v>411</v>
      </c>
      <c r="C19">
        <v>430</v>
      </c>
      <c r="D19">
        <v>840</v>
      </c>
      <c r="E19">
        <v>682</v>
      </c>
      <c r="G19">
        <v>840</v>
      </c>
      <c r="H19">
        <f t="shared" si="0"/>
        <v>0.489285714285714</v>
      </c>
      <c r="I19">
        <f t="shared" si="1"/>
        <v>0.511904761904762</v>
      </c>
      <c r="J19">
        <f t="shared" si="2"/>
        <v>1</v>
      </c>
      <c r="K19">
        <f t="shared" si="3"/>
        <v>0.811904761904762</v>
      </c>
    </row>
    <row r="20" spans="1:11">
      <c r="A20">
        <v>860</v>
      </c>
      <c r="B20">
        <v>411</v>
      </c>
      <c r="C20">
        <v>440</v>
      </c>
      <c r="D20">
        <v>860</v>
      </c>
      <c r="E20">
        <v>699</v>
      </c>
      <c r="G20">
        <v>860</v>
      </c>
      <c r="H20">
        <f t="shared" si="0"/>
        <v>0.477906976744186</v>
      </c>
      <c r="I20">
        <f t="shared" si="1"/>
        <v>0.511627906976744</v>
      </c>
      <c r="J20">
        <f t="shared" si="2"/>
        <v>1</v>
      </c>
      <c r="K20">
        <f t="shared" si="3"/>
        <v>0.812790697674419</v>
      </c>
    </row>
    <row r="21" spans="1:11">
      <c r="A21">
        <v>880</v>
      </c>
      <c r="B21">
        <v>425</v>
      </c>
      <c r="C21">
        <v>449</v>
      </c>
      <c r="D21">
        <v>880</v>
      </c>
      <c r="E21">
        <v>715</v>
      </c>
      <c r="G21">
        <v>880</v>
      </c>
      <c r="H21">
        <f t="shared" si="0"/>
        <v>0.482954545454545</v>
      </c>
      <c r="I21">
        <f t="shared" si="1"/>
        <v>0.510227272727273</v>
      </c>
      <c r="J21">
        <f t="shared" si="2"/>
        <v>1</v>
      </c>
      <c r="K21">
        <f t="shared" si="3"/>
        <v>0.8125</v>
      </c>
    </row>
    <row r="22" spans="1:11">
      <c r="A22">
        <v>900</v>
      </c>
      <c r="B22">
        <v>425</v>
      </c>
      <c r="C22">
        <v>459</v>
      </c>
      <c r="D22">
        <v>900</v>
      </c>
      <c r="E22">
        <v>730</v>
      </c>
      <c r="G22">
        <v>900</v>
      </c>
      <c r="H22">
        <f t="shared" si="0"/>
        <v>0.472222222222222</v>
      </c>
      <c r="I22">
        <f t="shared" si="1"/>
        <v>0.51</v>
      </c>
      <c r="J22">
        <f t="shared" si="2"/>
        <v>1</v>
      </c>
      <c r="K22">
        <f t="shared" si="3"/>
        <v>0.811111111111111</v>
      </c>
    </row>
    <row r="23" spans="1:11">
      <c r="A23">
        <v>920</v>
      </c>
      <c r="B23">
        <v>437</v>
      </c>
      <c r="C23">
        <v>472</v>
      </c>
      <c r="D23">
        <v>920</v>
      </c>
      <c r="E23">
        <v>747</v>
      </c>
      <c r="G23">
        <v>920</v>
      </c>
      <c r="H23">
        <f t="shared" si="0"/>
        <v>0.475</v>
      </c>
      <c r="I23">
        <f t="shared" si="1"/>
        <v>0.51304347826087</v>
      </c>
      <c r="J23">
        <f t="shared" si="2"/>
        <v>1</v>
      </c>
      <c r="K23">
        <f t="shared" si="3"/>
        <v>0.81195652173913</v>
      </c>
    </row>
    <row r="24" spans="1:11">
      <c r="A24">
        <v>940</v>
      </c>
      <c r="B24">
        <v>448</v>
      </c>
      <c r="C24">
        <v>481</v>
      </c>
      <c r="D24">
        <v>940</v>
      </c>
      <c r="E24">
        <v>763</v>
      </c>
      <c r="G24">
        <v>940</v>
      </c>
      <c r="H24">
        <f t="shared" si="0"/>
        <v>0.476595744680851</v>
      </c>
      <c r="I24">
        <f t="shared" si="1"/>
        <v>0.511702127659574</v>
      </c>
      <c r="J24">
        <f t="shared" si="2"/>
        <v>1</v>
      </c>
      <c r="K24">
        <f t="shared" si="3"/>
        <v>0.811702127659575</v>
      </c>
    </row>
    <row r="25" spans="1:11">
      <c r="A25">
        <v>960</v>
      </c>
      <c r="B25">
        <v>464</v>
      </c>
      <c r="C25">
        <v>493</v>
      </c>
      <c r="D25">
        <v>960</v>
      </c>
      <c r="E25">
        <v>777</v>
      </c>
      <c r="G25">
        <v>960</v>
      </c>
      <c r="H25">
        <f t="shared" si="0"/>
        <v>0.483333333333333</v>
      </c>
      <c r="I25">
        <f t="shared" si="1"/>
        <v>0.513541666666667</v>
      </c>
      <c r="J25">
        <f t="shared" si="2"/>
        <v>1</v>
      </c>
      <c r="K25">
        <f t="shared" si="3"/>
        <v>0.809375</v>
      </c>
    </row>
    <row r="26" spans="1:11">
      <c r="A26">
        <v>980</v>
      </c>
      <c r="B26">
        <v>482</v>
      </c>
      <c r="C26">
        <v>502</v>
      </c>
      <c r="D26">
        <v>980</v>
      </c>
      <c r="E26">
        <v>796</v>
      </c>
      <c r="G26">
        <v>980</v>
      </c>
      <c r="H26">
        <f t="shared" si="0"/>
        <v>0.491836734693878</v>
      </c>
      <c r="I26">
        <f t="shared" si="1"/>
        <v>0.512244897959184</v>
      </c>
      <c r="J26">
        <f t="shared" si="2"/>
        <v>1</v>
      </c>
      <c r="K26">
        <f t="shared" si="3"/>
        <v>0.812244897959184</v>
      </c>
    </row>
    <row r="27" spans="1:11">
      <c r="A27">
        <v>1000</v>
      </c>
      <c r="B27">
        <v>500</v>
      </c>
      <c r="C27">
        <v>514</v>
      </c>
      <c r="D27">
        <v>1000</v>
      </c>
      <c r="E27">
        <v>810</v>
      </c>
      <c r="G27">
        <v>1000</v>
      </c>
      <c r="H27">
        <f t="shared" si="0"/>
        <v>0.5</v>
      </c>
      <c r="I27">
        <f t="shared" si="1"/>
        <v>0.514</v>
      </c>
      <c r="J27">
        <f t="shared" si="2"/>
        <v>1</v>
      </c>
      <c r="K27">
        <f t="shared" si="3"/>
        <v>0.81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A18" workbookViewId="0">
      <selection activeCell="F17" sqref="F17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219</v>
      </c>
      <c r="C2">
        <v>252</v>
      </c>
      <c r="D2">
        <v>500</v>
      </c>
      <c r="E2">
        <v>442</v>
      </c>
      <c r="G2">
        <v>500</v>
      </c>
      <c r="H2">
        <f>B2/A2</f>
        <v>0.438</v>
      </c>
      <c r="I2">
        <f>C2/A2</f>
        <v>0.504</v>
      </c>
      <c r="J2">
        <f>D2/A2</f>
        <v>1</v>
      </c>
      <c r="K2">
        <f>E2/A2</f>
        <v>0.884</v>
      </c>
    </row>
    <row r="3" spans="1:11">
      <c r="A3">
        <v>520</v>
      </c>
      <c r="B3">
        <v>238</v>
      </c>
      <c r="C3">
        <v>260</v>
      </c>
      <c r="D3">
        <v>520</v>
      </c>
      <c r="E3">
        <v>460</v>
      </c>
      <c r="G3">
        <v>520</v>
      </c>
      <c r="H3">
        <f t="shared" ref="H3:H27" si="0">B3/A3</f>
        <v>0.457692307692308</v>
      </c>
      <c r="I3">
        <f t="shared" ref="I3:I27" si="1">C3/A3</f>
        <v>0.5</v>
      </c>
      <c r="J3">
        <f t="shared" ref="J3:J27" si="2">D3/A3</f>
        <v>1</v>
      </c>
      <c r="K3">
        <f t="shared" ref="K3:K27" si="3">E3/A3</f>
        <v>0.884615384615385</v>
      </c>
    </row>
    <row r="4" spans="1:11">
      <c r="A4">
        <v>540</v>
      </c>
      <c r="B4">
        <v>254</v>
      </c>
      <c r="C4">
        <v>270</v>
      </c>
      <c r="D4">
        <v>540</v>
      </c>
      <c r="E4">
        <v>477</v>
      </c>
      <c r="G4">
        <v>540</v>
      </c>
      <c r="H4">
        <f t="shared" si="0"/>
        <v>0.47037037037037</v>
      </c>
      <c r="I4">
        <f t="shared" si="1"/>
        <v>0.5</v>
      </c>
      <c r="J4">
        <f t="shared" si="2"/>
        <v>1</v>
      </c>
      <c r="K4">
        <f t="shared" si="3"/>
        <v>0.883333333333333</v>
      </c>
    </row>
    <row r="5" spans="1:11">
      <c r="A5">
        <v>560</v>
      </c>
      <c r="B5">
        <v>271</v>
      </c>
      <c r="C5">
        <v>281</v>
      </c>
      <c r="D5">
        <v>560</v>
      </c>
      <c r="E5">
        <v>495</v>
      </c>
      <c r="G5">
        <v>560</v>
      </c>
      <c r="H5">
        <f t="shared" si="0"/>
        <v>0.483928571428571</v>
      </c>
      <c r="I5">
        <f t="shared" si="1"/>
        <v>0.501785714285714</v>
      </c>
      <c r="J5">
        <f t="shared" si="2"/>
        <v>1</v>
      </c>
      <c r="K5">
        <f t="shared" si="3"/>
        <v>0.883928571428571</v>
      </c>
    </row>
    <row r="6" spans="1:11">
      <c r="A6">
        <v>580</v>
      </c>
      <c r="B6">
        <v>285</v>
      </c>
      <c r="C6">
        <v>290</v>
      </c>
      <c r="D6">
        <v>580</v>
      </c>
      <c r="E6">
        <v>515</v>
      </c>
      <c r="G6">
        <v>580</v>
      </c>
      <c r="H6">
        <f t="shared" si="0"/>
        <v>0.491379310344828</v>
      </c>
      <c r="I6">
        <f t="shared" si="1"/>
        <v>0.5</v>
      </c>
      <c r="J6">
        <f t="shared" si="2"/>
        <v>1</v>
      </c>
      <c r="K6">
        <f t="shared" si="3"/>
        <v>0.887931034482759</v>
      </c>
    </row>
    <row r="7" spans="1:11">
      <c r="A7">
        <v>600</v>
      </c>
      <c r="B7">
        <v>300</v>
      </c>
      <c r="C7">
        <v>299</v>
      </c>
      <c r="D7">
        <v>600</v>
      </c>
      <c r="E7">
        <v>529</v>
      </c>
      <c r="G7">
        <v>600</v>
      </c>
      <c r="H7">
        <f t="shared" si="0"/>
        <v>0.5</v>
      </c>
      <c r="I7">
        <f t="shared" si="1"/>
        <v>0.498333333333333</v>
      </c>
      <c r="J7">
        <f t="shared" si="2"/>
        <v>1</v>
      </c>
      <c r="K7">
        <f t="shared" si="3"/>
        <v>0.881666666666667</v>
      </c>
    </row>
    <row r="8" spans="1:11">
      <c r="A8">
        <v>620</v>
      </c>
      <c r="B8">
        <v>308</v>
      </c>
      <c r="C8">
        <v>311</v>
      </c>
      <c r="D8">
        <v>620</v>
      </c>
      <c r="E8">
        <v>546</v>
      </c>
      <c r="G8">
        <v>620</v>
      </c>
      <c r="H8">
        <f t="shared" si="0"/>
        <v>0.496774193548387</v>
      </c>
      <c r="I8">
        <f t="shared" si="1"/>
        <v>0.501612903225806</v>
      </c>
      <c r="J8">
        <f t="shared" si="2"/>
        <v>1</v>
      </c>
      <c r="K8">
        <f t="shared" si="3"/>
        <v>0.880645161290323</v>
      </c>
    </row>
    <row r="9" spans="1:11">
      <c r="A9">
        <v>640</v>
      </c>
      <c r="B9">
        <v>313</v>
      </c>
      <c r="C9">
        <v>322</v>
      </c>
      <c r="D9">
        <v>640</v>
      </c>
      <c r="E9">
        <v>564</v>
      </c>
      <c r="G9">
        <v>640</v>
      </c>
      <c r="H9">
        <f t="shared" si="0"/>
        <v>0.4890625</v>
      </c>
      <c r="I9">
        <f t="shared" si="1"/>
        <v>0.503125</v>
      </c>
      <c r="J9">
        <f t="shared" si="2"/>
        <v>1</v>
      </c>
      <c r="K9">
        <f t="shared" si="3"/>
        <v>0.88125</v>
      </c>
    </row>
    <row r="10" spans="1:11">
      <c r="A10">
        <v>660</v>
      </c>
      <c r="B10">
        <v>313</v>
      </c>
      <c r="C10">
        <v>332</v>
      </c>
      <c r="D10">
        <v>660</v>
      </c>
      <c r="E10">
        <v>581</v>
      </c>
      <c r="G10">
        <v>660</v>
      </c>
      <c r="H10">
        <f t="shared" si="0"/>
        <v>0.474242424242424</v>
      </c>
      <c r="I10">
        <f t="shared" si="1"/>
        <v>0.503030303030303</v>
      </c>
      <c r="J10">
        <f t="shared" si="2"/>
        <v>1</v>
      </c>
      <c r="K10">
        <f t="shared" si="3"/>
        <v>0.88030303030303</v>
      </c>
    </row>
    <row r="11" spans="1:11">
      <c r="A11">
        <v>680</v>
      </c>
      <c r="B11">
        <v>316</v>
      </c>
      <c r="C11">
        <v>342</v>
      </c>
      <c r="D11">
        <v>680</v>
      </c>
      <c r="E11">
        <v>598</v>
      </c>
      <c r="G11">
        <v>680</v>
      </c>
      <c r="H11">
        <f t="shared" si="0"/>
        <v>0.464705882352941</v>
      </c>
      <c r="I11">
        <f t="shared" si="1"/>
        <v>0.502941176470588</v>
      </c>
      <c r="J11">
        <f t="shared" si="2"/>
        <v>1</v>
      </c>
      <c r="K11">
        <f t="shared" si="3"/>
        <v>0.879411764705882</v>
      </c>
    </row>
    <row r="12" spans="1:11">
      <c r="A12">
        <v>700</v>
      </c>
      <c r="B12">
        <v>323</v>
      </c>
      <c r="C12">
        <v>358</v>
      </c>
      <c r="D12">
        <v>700</v>
      </c>
      <c r="E12">
        <v>618</v>
      </c>
      <c r="G12">
        <v>700</v>
      </c>
      <c r="H12">
        <f t="shared" si="0"/>
        <v>0.461428571428571</v>
      </c>
      <c r="I12">
        <f t="shared" si="1"/>
        <v>0.511428571428571</v>
      </c>
      <c r="J12">
        <f t="shared" si="2"/>
        <v>1</v>
      </c>
      <c r="K12">
        <f t="shared" si="3"/>
        <v>0.882857142857143</v>
      </c>
    </row>
    <row r="13" spans="1:11">
      <c r="A13">
        <v>720</v>
      </c>
      <c r="B13">
        <v>342</v>
      </c>
      <c r="C13">
        <v>368</v>
      </c>
      <c r="D13">
        <v>720</v>
      </c>
      <c r="E13">
        <v>635</v>
      </c>
      <c r="G13">
        <v>720</v>
      </c>
      <c r="H13">
        <f t="shared" si="0"/>
        <v>0.475</v>
      </c>
      <c r="I13">
        <f t="shared" si="1"/>
        <v>0.511111111111111</v>
      </c>
      <c r="J13">
        <f t="shared" si="2"/>
        <v>1</v>
      </c>
      <c r="K13">
        <f t="shared" si="3"/>
        <v>0.881944444444444</v>
      </c>
    </row>
    <row r="14" spans="1:11">
      <c r="A14">
        <v>740</v>
      </c>
      <c r="B14">
        <v>357</v>
      </c>
      <c r="C14">
        <v>376</v>
      </c>
      <c r="D14">
        <v>740</v>
      </c>
      <c r="E14">
        <v>655</v>
      </c>
      <c r="G14">
        <v>740</v>
      </c>
      <c r="H14">
        <f t="shared" si="0"/>
        <v>0.482432432432432</v>
      </c>
      <c r="I14">
        <f t="shared" si="1"/>
        <v>0.508108108108108</v>
      </c>
      <c r="J14">
        <f t="shared" si="2"/>
        <v>1</v>
      </c>
      <c r="K14">
        <f t="shared" si="3"/>
        <v>0.885135135135135</v>
      </c>
    </row>
    <row r="15" spans="1:11">
      <c r="A15">
        <v>760</v>
      </c>
      <c r="B15">
        <v>375</v>
      </c>
      <c r="C15">
        <v>384</v>
      </c>
      <c r="D15">
        <v>760</v>
      </c>
      <c r="E15">
        <v>672</v>
      </c>
      <c r="G15">
        <v>760</v>
      </c>
      <c r="H15">
        <f t="shared" si="0"/>
        <v>0.493421052631579</v>
      </c>
      <c r="I15">
        <f t="shared" si="1"/>
        <v>0.505263157894737</v>
      </c>
      <c r="J15">
        <f t="shared" si="2"/>
        <v>1</v>
      </c>
      <c r="K15">
        <f t="shared" si="3"/>
        <v>0.884210526315789</v>
      </c>
    </row>
    <row r="16" spans="1:11">
      <c r="A16">
        <v>780</v>
      </c>
      <c r="B16">
        <v>388</v>
      </c>
      <c r="C16">
        <v>395</v>
      </c>
      <c r="D16">
        <v>780</v>
      </c>
      <c r="E16">
        <v>689</v>
      </c>
      <c r="G16">
        <v>780</v>
      </c>
      <c r="H16">
        <f t="shared" si="0"/>
        <v>0.497435897435897</v>
      </c>
      <c r="I16">
        <f t="shared" si="1"/>
        <v>0.506410256410256</v>
      </c>
      <c r="J16">
        <f t="shared" si="2"/>
        <v>1</v>
      </c>
      <c r="K16">
        <f t="shared" si="3"/>
        <v>0.883333333333333</v>
      </c>
    </row>
    <row r="17" spans="1:11">
      <c r="A17">
        <v>800</v>
      </c>
      <c r="B17">
        <v>400</v>
      </c>
      <c r="C17">
        <v>405</v>
      </c>
      <c r="D17">
        <v>800</v>
      </c>
      <c r="E17">
        <v>706</v>
      </c>
      <c r="G17">
        <v>800</v>
      </c>
      <c r="H17">
        <f t="shared" si="0"/>
        <v>0.5</v>
      </c>
      <c r="I17">
        <f t="shared" si="1"/>
        <v>0.50625</v>
      </c>
      <c r="J17">
        <f t="shared" si="2"/>
        <v>1</v>
      </c>
      <c r="K17">
        <f t="shared" si="3"/>
        <v>0.8825</v>
      </c>
    </row>
    <row r="18" spans="1:11">
      <c r="A18">
        <v>820</v>
      </c>
      <c r="B18">
        <v>408</v>
      </c>
      <c r="C18">
        <v>416</v>
      </c>
      <c r="D18">
        <v>820</v>
      </c>
      <c r="E18">
        <v>723</v>
      </c>
      <c r="G18">
        <v>820</v>
      </c>
      <c r="H18">
        <f t="shared" si="0"/>
        <v>0.497560975609756</v>
      </c>
      <c r="I18">
        <f t="shared" si="1"/>
        <v>0.507317073170732</v>
      </c>
      <c r="J18">
        <f t="shared" si="2"/>
        <v>1</v>
      </c>
      <c r="K18">
        <f t="shared" si="3"/>
        <v>0.881707317073171</v>
      </c>
    </row>
    <row r="19" spans="1:11">
      <c r="A19">
        <v>840</v>
      </c>
      <c r="B19">
        <v>419</v>
      </c>
      <c r="C19">
        <v>424</v>
      </c>
      <c r="D19">
        <v>840</v>
      </c>
      <c r="E19">
        <v>741</v>
      </c>
      <c r="G19">
        <v>840</v>
      </c>
      <c r="H19">
        <f t="shared" si="0"/>
        <v>0.498809523809524</v>
      </c>
      <c r="I19">
        <f t="shared" si="1"/>
        <v>0.504761904761905</v>
      </c>
      <c r="J19">
        <f t="shared" si="2"/>
        <v>1</v>
      </c>
      <c r="K19">
        <f t="shared" si="3"/>
        <v>0.882142857142857</v>
      </c>
    </row>
    <row r="20" spans="1:11">
      <c r="A20">
        <v>860</v>
      </c>
      <c r="B20">
        <v>419</v>
      </c>
      <c r="C20">
        <v>432</v>
      </c>
      <c r="D20">
        <v>860</v>
      </c>
      <c r="E20">
        <v>760</v>
      </c>
      <c r="G20">
        <v>860</v>
      </c>
      <c r="H20">
        <f t="shared" si="0"/>
        <v>0.487209302325581</v>
      </c>
      <c r="I20">
        <f t="shared" si="1"/>
        <v>0.502325581395349</v>
      </c>
      <c r="J20">
        <f t="shared" si="2"/>
        <v>1</v>
      </c>
      <c r="K20">
        <f t="shared" si="3"/>
        <v>0.883720930232558</v>
      </c>
    </row>
    <row r="21" spans="1:11">
      <c r="A21">
        <v>880</v>
      </c>
      <c r="B21">
        <v>419</v>
      </c>
      <c r="C21">
        <v>442</v>
      </c>
      <c r="D21">
        <v>880</v>
      </c>
      <c r="E21">
        <v>777</v>
      </c>
      <c r="G21">
        <v>880</v>
      </c>
      <c r="H21">
        <f t="shared" si="0"/>
        <v>0.476136363636364</v>
      </c>
      <c r="I21">
        <f t="shared" si="1"/>
        <v>0.502272727272727</v>
      </c>
      <c r="J21">
        <f t="shared" si="2"/>
        <v>1</v>
      </c>
      <c r="K21">
        <f t="shared" si="3"/>
        <v>0.882954545454545</v>
      </c>
    </row>
    <row r="22" spans="1:11">
      <c r="A22">
        <v>900</v>
      </c>
      <c r="B22">
        <v>427</v>
      </c>
      <c r="C22">
        <v>456</v>
      </c>
      <c r="D22">
        <v>900</v>
      </c>
      <c r="E22">
        <v>796</v>
      </c>
      <c r="G22">
        <v>900</v>
      </c>
      <c r="H22">
        <f t="shared" si="0"/>
        <v>0.474444444444444</v>
      </c>
      <c r="I22">
        <f t="shared" si="1"/>
        <v>0.506666666666667</v>
      </c>
      <c r="J22">
        <f t="shared" si="2"/>
        <v>1</v>
      </c>
      <c r="K22">
        <f t="shared" si="3"/>
        <v>0.884444444444444</v>
      </c>
    </row>
    <row r="23" spans="1:11">
      <c r="A23">
        <v>920</v>
      </c>
      <c r="B23">
        <v>443</v>
      </c>
      <c r="C23">
        <v>465</v>
      </c>
      <c r="D23">
        <v>920</v>
      </c>
      <c r="E23">
        <v>813</v>
      </c>
      <c r="G23">
        <v>920</v>
      </c>
      <c r="H23">
        <f t="shared" si="0"/>
        <v>0.481521739130435</v>
      </c>
      <c r="I23">
        <f t="shared" si="1"/>
        <v>0.505434782608696</v>
      </c>
      <c r="J23">
        <f t="shared" si="2"/>
        <v>1</v>
      </c>
      <c r="K23">
        <f t="shared" si="3"/>
        <v>0.883695652173913</v>
      </c>
    </row>
    <row r="24" spans="1:11">
      <c r="A24">
        <v>940</v>
      </c>
      <c r="B24">
        <v>463</v>
      </c>
      <c r="C24">
        <v>475</v>
      </c>
      <c r="D24">
        <v>940</v>
      </c>
      <c r="E24">
        <v>830</v>
      </c>
      <c r="G24">
        <v>940</v>
      </c>
      <c r="H24">
        <f t="shared" si="0"/>
        <v>0.492553191489362</v>
      </c>
      <c r="I24">
        <f t="shared" si="1"/>
        <v>0.50531914893617</v>
      </c>
      <c r="J24">
        <f t="shared" si="2"/>
        <v>1</v>
      </c>
      <c r="K24">
        <f t="shared" si="3"/>
        <v>0.882978723404255</v>
      </c>
    </row>
    <row r="25" spans="1:11">
      <c r="A25">
        <v>960</v>
      </c>
      <c r="B25">
        <v>483</v>
      </c>
      <c r="C25">
        <v>486</v>
      </c>
      <c r="D25">
        <v>960</v>
      </c>
      <c r="E25">
        <v>848</v>
      </c>
      <c r="G25">
        <v>960</v>
      </c>
      <c r="H25">
        <f t="shared" si="0"/>
        <v>0.503125</v>
      </c>
      <c r="I25">
        <f t="shared" si="1"/>
        <v>0.50625</v>
      </c>
      <c r="J25">
        <f t="shared" si="2"/>
        <v>1</v>
      </c>
      <c r="K25">
        <f t="shared" si="3"/>
        <v>0.883333333333333</v>
      </c>
    </row>
    <row r="26" spans="1:11">
      <c r="A26">
        <v>980</v>
      </c>
      <c r="B26">
        <v>492</v>
      </c>
      <c r="C26">
        <v>496</v>
      </c>
      <c r="D26">
        <v>980</v>
      </c>
      <c r="E26">
        <v>868</v>
      </c>
      <c r="G26">
        <v>980</v>
      </c>
      <c r="H26">
        <f t="shared" si="0"/>
        <v>0.502040816326531</v>
      </c>
      <c r="I26">
        <f t="shared" si="1"/>
        <v>0.506122448979592</v>
      </c>
      <c r="J26">
        <f t="shared" si="2"/>
        <v>1</v>
      </c>
      <c r="K26">
        <f t="shared" si="3"/>
        <v>0.885714285714286</v>
      </c>
    </row>
    <row r="27" spans="1:11">
      <c r="A27">
        <v>1000</v>
      </c>
      <c r="B27">
        <v>500</v>
      </c>
      <c r="C27">
        <v>510</v>
      </c>
      <c r="D27">
        <v>1000</v>
      </c>
      <c r="E27">
        <v>887</v>
      </c>
      <c r="G27">
        <v>1000</v>
      </c>
      <c r="H27">
        <f t="shared" si="0"/>
        <v>0.5</v>
      </c>
      <c r="I27">
        <f t="shared" si="1"/>
        <v>0.51</v>
      </c>
      <c r="J27">
        <f t="shared" si="2"/>
        <v>1</v>
      </c>
      <c r="K27">
        <f t="shared" si="3"/>
        <v>0.887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A21" workbookViewId="0">
      <selection activeCell="F13" sqref="F13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220</v>
      </c>
      <c r="C2">
        <v>256</v>
      </c>
      <c r="D2">
        <v>0</v>
      </c>
      <c r="E2">
        <v>420</v>
      </c>
      <c r="G2">
        <v>500</v>
      </c>
      <c r="H2">
        <f>B2/A2</f>
        <v>0.44</v>
      </c>
      <c r="I2">
        <f>C2/A2</f>
        <v>0.512</v>
      </c>
      <c r="J2">
        <f>D5/A2</f>
        <v>0</v>
      </c>
      <c r="K2">
        <f>E2/A2</f>
        <v>0.84</v>
      </c>
    </row>
    <row r="3" spans="1:11">
      <c r="A3">
        <v>520</v>
      </c>
      <c r="B3">
        <v>233</v>
      </c>
      <c r="C3">
        <v>266</v>
      </c>
      <c r="D3">
        <v>0</v>
      </c>
      <c r="E3">
        <v>435</v>
      </c>
      <c r="G3">
        <v>520</v>
      </c>
      <c r="H3">
        <f t="shared" ref="H3:H27" si="0">B3/A3</f>
        <v>0.448076923076923</v>
      </c>
      <c r="I3">
        <f t="shared" ref="I3:I27" si="1">C3/A3</f>
        <v>0.511538461538461</v>
      </c>
      <c r="J3">
        <f t="shared" ref="J3:J27" si="2">D3/A3</f>
        <v>0</v>
      </c>
      <c r="K3">
        <f t="shared" ref="K3:K27" si="3">E3/A3</f>
        <v>0.836538461538462</v>
      </c>
    </row>
    <row r="4" spans="1:11">
      <c r="A4">
        <v>540</v>
      </c>
      <c r="B4">
        <v>252</v>
      </c>
      <c r="C4">
        <v>280</v>
      </c>
      <c r="D4">
        <v>0</v>
      </c>
      <c r="E4">
        <v>451</v>
      </c>
      <c r="G4">
        <v>540</v>
      </c>
      <c r="H4">
        <f t="shared" si="0"/>
        <v>0.466666666666667</v>
      </c>
      <c r="I4">
        <f t="shared" si="1"/>
        <v>0.518518518518518</v>
      </c>
      <c r="J4">
        <f t="shared" si="2"/>
        <v>0</v>
      </c>
      <c r="K4">
        <f t="shared" si="3"/>
        <v>0.835185185185185</v>
      </c>
    </row>
    <row r="5" spans="1:11">
      <c r="A5">
        <v>560</v>
      </c>
      <c r="B5">
        <v>272</v>
      </c>
      <c r="C5">
        <v>291</v>
      </c>
      <c r="D5">
        <v>0</v>
      </c>
      <c r="E5">
        <v>464</v>
      </c>
      <c r="G5">
        <v>560</v>
      </c>
      <c r="H5">
        <f t="shared" si="0"/>
        <v>0.485714285714286</v>
      </c>
      <c r="I5">
        <f t="shared" si="1"/>
        <v>0.519642857142857</v>
      </c>
      <c r="J5" t="e">
        <f>#REF!/A5</f>
        <v>#REF!</v>
      </c>
      <c r="K5">
        <f t="shared" si="3"/>
        <v>0.828571428571429</v>
      </c>
    </row>
    <row r="6" spans="1:11">
      <c r="A6">
        <v>580</v>
      </c>
      <c r="B6">
        <v>288</v>
      </c>
      <c r="C6">
        <v>300</v>
      </c>
      <c r="D6">
        <v>0</v>
      </c>
      <c r="E6">
        <v>481</v>
      </c>
      <c r="G6">
        <v>580</v>
      </c>
      <c r="H6">
        <f t="shared" si="0"/>
        <v>0.496551724137931</v>
      </c>
      <c r="I6">
        <f t="shared" si="1"/>
        <v>0.517241379310345</v>
      </c>
      <c r="J6">
        <f t="shared" si="2"/>
        <v>0</v>
      </c>
      <c r="K6">
        <f t="shared" si="3"/>
        <v>0.829310344827586</v>
      </c>
    </row>
    <row r="7" spans="1:11">
      <c r="A7">
        <v>600</v>
      </c>
      <c r="B7">
        <v>306</v>
      </c>
      <c r="C7">
        <v>310</v>
      </c>
      <c r="D7">
        <v>0</v>
      </c>
      <c r="E7">
        <v>496</v>
      </c>
      <c r="G7">
        <v>600</v>
      </c>
      <c r="H7">
        <f t="shared" si="0"/>
        <v>0.51</v>
      </c>
      <c r="I7">
        <f t="shared" si="1"/>
        <v>0.516666666666667</v>
      </c>
      <c r="J7">
        <f t="shared" si="2"/>
        <v>0</v>
      </c>
      <c r="K7">
        <f t="shared" si="3"/>
        <v>0.826666666666667</v>
      </c>
    </row>
    <row r="8" spans="1:11">
      <c r="A8">
        <v>620</v>
      </c>
      <c r="B8">
        <v>310</v>
      </c>
      <c r="C8">
        <v>321</v>
      </c>
      <c r="D8">
        <v>0</v>
      </c>
      <c r="E8">
        <v>511</v>
      </c>
      <c r="G8">
        <v>620</v>
      </c>
      <c r="H8">
        <f t="shared" si="0"/>
        <v>0.5</v>
      </c>
      <c r="I8">
        <f t="shared" si="1"/>
        <v>0.517741935483871</v>
      </c>
      <c r="J8">
        <f t="shared" si="2"/>
        <v>0</v>
      </c>
      <c r="K8">
        <f t="shared" si="3"/>
        <v>0.824193548387097</v>
      </c>
    </row>
    <row r="9" spans="1:11">
      <c r="A9">
        <v>640</v>
      </c>
      <c r="B9">
        <v>317</v>
      </c>
      <c r="C9">
        <v>331</v>
      </c>
      <c r="D9">
        <v>0</v>
      </c>
      <c r="E9">
        <v>528</v>
      </c>
      <c r="G9">
        <v>640</v>
      </c>
      <c r="H9">
        <f t="shared" si="0"/>
        <v>0.4953125</v>
      </c>
      <c r="I9">
        <f t="shared" si="1"/>
        <v>0.5171875</v>
      </c>
      <c r="J9">
        <f t="shared" si="2"/>
        <v>0</v>
      </c>
      <c r="K9">
        <f t="shared" si="3"/>
        <v>0.825</v>
      </c>
    </row>
    <row r="10" spans="1:11">
      <c r="A10">
        <v>660</v>
      </c>
      <c r="B10">
        <v>324</v>
      </c>
      <c r="C10">
        <v>339</v>
      </c>
      <c r="D10">
        <v>0</v>
      </c>
      <c r="E10">
        <v>543</v>
      </c>
      <c r="G10">
        <v>660</v>
      </c>
      <c r="H10">
        <f t="shared" si="0"/>
        <v>0.490909090909091</v>
      </c>
      <c r="I10">
        <f t="shared" si="1"/>
        <v>0.513636363636364</v>
      </c>
      <c r="J10">
        <f t="shared" si="2"/>
        <v>0</v>
      </c>
      <c r="K10">
        <f t="shared" si="3"/>
        <v>0.822727272727273</v>
      </c>
    </row>
    <row r="11" spans="1:11">
      <c r="A11">
        <v>680</v>
      </c>
      <c r="B11">
        <v>326</v>
      </c>
      <c r="C11">
        <v>351</v>
      </c>
      <c r="D11">
        <v>0</v>
      </c>
      <c r="E11">
        <v>558</v>
      </c>
      <c r="G11">
        <v>680</v>
      </c>
      <c r="H11">
        <f t="shared" si="0"/>
        <v>0.479411764705882</v>
      </c>
      <c r="I11">
        <f t="shared" si="1"/>
        <v>0.516176470588235</v>
      </c>
      <c r="J11">
        <f t="shared" si="2"/>
        <v>0</v>
      </c>
      <c r="K11">
        <f t="shared" si="3"/>
        <v>0.820588235294118</v>
      </c>
    </row>
    <row r="12" spans="1:11">
      <c r="A12">
        <v>700</v>
      </c>
      <c r="B12">
        <v>329</v>
      </c>
      <c r="C12">
        <v>359</v>
      </c>
      <c r="D12">
        <v>0</v>
      </c>
      <c r="E12">
        <v>573</v>
      </c>
      <c r="G12">
        <v>700</v>
      </c>
      <c r="H12">
        <f t="shared" si="0"/>
        <v>0.47</v>
      </c>
      <c r="I12">
        <f t="shared" si="1"/>
        <v>0.512857142857143</v>
      </c>
      <c r="J12">
        <f t="shared" si="2"/>
        <v>0</v>
      </c>
      <c r="K12">
        <f t="shared" si="3"/>
        <v>0.818571428571429</v>
      </c>
    </row>
    <row r="13" spans="1:11">
      <c r="A13">
        <v>720</v>
      </c>
      <c r="B13">
        <v>343</v>
      </c>
      <c r="C13">
        <v>370</v>
      </c>
      <c r="D13">
        <v>0</v>
      </c>
      <c r="E13">
        <v>589</v>
      </c>
      <c r="G13">
        <v>720</v>
      </c>
      <c r="H13">
        <f t="shared" si="0"/>
        <v>0.476388888888889</v>
      </c>
      <c r="I13">
        <f t="shared" si="1"/>
        <v>0.513888888888889</v>
      </c>
      <c r="J13">
        <f t="shared" si="2"/>
        <v>0</v>
      </c>
      <c r="K13">
        <f t="shared" si="3"/>
        <v>0.818055555555556</v>
      </c>
    </row>
    <row r="14" spans="1:11">
      <c r="A14">
        <v>740</v>
      </c>
      <c r="B14">
        <v>361</v>
      </c>
      <c r="C14">
        <v>381</v>
      </c>
      <c r="D14">
        <v>0</v>
      </c>
      <c r="E14">
        <v>606</v>
      </c>
      <c r="G14">
        <v>740</v>
      </c>
      <c r="H14">
        <f t="shared" si="0"/>
        <v>0.487837837837838</v>
      </c>
      <c r="I14">
        <f t="shared" si="1"/>
        <v>0.514864864864865</v>
      </c>
      <c r="J14">
        <f t="shared" si="2"/>
        <v>0</v>
      </c>
      <c r="K14">
        <f t="shared" si="3"/>
        <v>0.818918918918919</v>
      </c>
    </row>
    <row r="15" spans="1:11">
      <c r="A15">
        <v>760</v>
      </c>
      <c r="B15">
        <v>378</v>
      </c>
      <c r="C15">
        <v>391</v>
      </c>
      <c r="D15">
        <v>0</v>
      </c>
      <c r="E15">
        <v>622</v>
      </c>
      <c r="G15">
        <v>760</v>
      </c>
      <c r="H15">
        <f t="shared" si="0"/>
        <v>0.497368421052632</v>
      </c>
      <c r="I15">
        <f t="shared" si="1"/>
        <v>0.514473684210526</v>
      </c>
      <c r="J15">
        <f t="shared" si="2"/>
        <v>0</v>
      </c>
      <c r="K15">
        <f t="shared" si="3"/>
        <v>0.818421052631579</v>
      </c>
    </row>
    <row r="16" spans="1:11">
      <c r="A16">
        <v>780</v>
      </c>
      <c r="B16">
        <v>393</v>
      </c>
      <c r="C16">
        <v>399</v>
      </c>
      <c r="D16">
        <v>0</v>
      </c>
      <c r="E16">
        <v>638</v>
      </c>
      <c r="G16">
        <v>780</v>
      </c>
      <c r="H16">
        <f t="shared" si="0"/>
        <v>0.503846153846154</v>
      </c>
      <c r="I16">
        <f t="shared" si="1"/>
        <v>0.511538461538461</v>
      </c>
      <c r="J16">
        <f t="shared" si="2"/>
        <v>0</v>
      </c>
      <c r="K16">
        <f t="shared" si="3"/>
        <v>0.817948717948718</v>
      </c>
    </row>
    <row r="17" spans="1:11">
      <c r="A17">
        <v>800</v>
      </c>
      <c r="B17">
        <v>410</v>
      </c>
      <c r="C17">
        <v>408</v>
      </c>
      <c r="D17">
        <v>0</v>
      </c>
      <c r="E17">
        <v>654</v>
      </c>
      <c r="G17">
        <v>800</v>
      </c>
      <c r="H17">
        <f t="shared" si="0"/>
        <v>0.5125</v>
      </c>
      <c r="I17">
        <f t="shared" si="1"/>
        <v>0.51</v>
      </c>
      <c r="J17">
        <f t="shared" si="2"/>
        <v>0</v>
      </c>
      <c r="K17">
        <f t="shared" si="3"/>
        <v>0.8175</v>
      </c>
    </row>
    <row r="18" spans="1:11">
      <c r="A18">
        <v>820</v>
      </c>
      <c r="B18">
        <v>414</v>
      </c>
      <c r="C18">
        <v>418</v>
      </c>
      <c r="D18">
        <v>0</v>
      </c>
      <c r="E18">
        <v>669</v>
      </c>
      <c r="G18">
        <v>820</v>
      </c>
      <c r="H18">
        <f t="shared" si="0"/>
        <v>0.504878048780488</v>
      </c>
      <c r="I18">
        <f t="shared" si="1"/>
        <v>0.509756097560976</v>
      </c>
      <c r="J18">
        <f t="shared" si="2"/>
        <v>0</v>
      </c>
      <c r="K18">
        <f t="shared" si="3"/>
        <v>0.815853658536585</v>
      </c>
    </row>
    <row r="19" spans="1:11">
      <c r="A19">
        <v>840</v>
      </c>
      <c r="B19">
        <v>423</v>
      </c>
      <c r="C19">
        <v>433</v>
      </c>
      <c r="D19">
        <v>0</v>
      </c>
      <c r="E19">
        <v>684</v>
      </c>
      <c r="G19">
        <v>840</v>
      </c>
      <c r="H19">
        <f t="shared" si="0"/>
        <v>0.503571428571429</v>
      </c>
      <c r="I19">
        <f t="shared" si="1"/>
        <v>0.51547619047619</v>
      </c>
      <c r="J19">
        <f t="shared" si="2"/>
        <v>0</v>
      </c>
      <c r="K19">
        <f t="shared" si="3"/>
        <v>0.814285714285714</v>
      </c>
    </row>
    <row r="20" spans="1:11">
      <c r="A20">
        <v>860</v>
      </c>
      <c r="B20">
        <v>431</v>
      </c>
      <c r="C20">
        <v>447</v>
      </c>
      <c r="D20">
        <v>0</v>
      </c>
      <c r="E20">
        <v>697</v>
      </c>
      <c r="G20">
        <v>860</v>
      </c>
      <c r="H20">
        <f t="shared" si="0"/>
        <v>0.501162790697674</v>
      </c>
      <c r="I20">
        <f t="shared" si="1"/>
        <v>0.519767441860465</v>
      </c>
      <c r="J20">
        <f t="shared" si="2"/>
        <v>0</v>
      </c>
      <c r="K20">
        <f t="shared" si="3"/>
        <v>0.81046511627907</v>
      </c>
    </row>
    <row r="21" spans="1:11">
      <c r="A21">
        <v>880</v>
      </c>
      <c r="B21">
        <v>433</v>
      </c>
      <c r="C21">
        <v>461</v>
      </c>
      <c r="D21">
        <v>0</v>
      </c>
      <c r="E21">
        <v>713</v>
      </c>
      <c r="G21">
        <v>880</v>
      </c>
      <c r="H21">
        <f t="shared" si="0"/>
        <v>0.492045454545455</v>
      </c>
      <c r="I21">
        <f t="shared" si="1"/>
        <v>0.523863636363636</v>
      </c>
      <c r="J21">
        <f t="shared" si="2"/>
        <v>0</v>
      </c>
      <c r="K21">
        <f t="shared" si="3"/>
        <v>0.810227272727273</v>
      </c>
    </row>
    <row r="22" spans="1:11">
      <c r="A22">
        <v>900</v>
      </c>
      <c r="B22">
        <v>439</v>
      </c>
      <c r="C22">
        <v>472</v>
      </c>
      <c r="D22">
        <v>0</v>
      </c>
      <c r="E22">
        <v>729</v>
      </c>
      <c r="G22">
        <v>900</v>
      </c>
      <c r="H22">
        <f t="shared" si="0"/>
        <v>0.487777777777778</v>
      </c>
      <c r="I22">
        <f t="shared" si="1"/>
        <v>0.524444444444444</v>
      </c>
      <c r="J22">
        <f t="shared" si="2"/>
        <v>0</v>
      </c>
      <c r="K22">
        <f t="shared" si="3"/>
        <v>0.81</v>
      </c>
    </row>
    <row r="23" spans="1:11">
      <c r="A23">
        <v>920</v>
      </c>
      <c r="B23">
        <v>453</v>
      </c>
      <c r="C23">
        <v>483</v>
      </c>
      <c r="D23">
        <v>0</v>
      </c>
      <c r="E23">
        <v>744</v>
      </c>
      <c r="G23">
        <v>920</v>
      </c>
      <c r="H23">
        <f t="shared" si="0"/>
        <v>0.492391304347826</v>
      </c>
      <c r="I23">
        <f t="shared" si="1"/>
        <v>0.525</v>
      </c>
      <c r="J23">
        <f t="shared" si="2"/>
        <v>0</v>
      </c>
      <c r="K23">
        <f t="shared" si="3"/>
        <v>0.808695652173913</v>
      </c>
    </row>
    <row r="24" spans="1:11">
      <c r="A24">
        <v>940</v>
      </c>
      <c r="B24">
        <v>470</v>
      </c>
      <c r="C24">
        <v>494</v>
      </c>
      <c r="D24">
        <v>0</v>
      </c>
      <c r="E24">
        <v>760</v>
      </c>
      <c r="G24">
        <v>940</v>
      </c>
      <c r="H24">
        <f t="shared" si="0"/>
        <v>0.5</v>
      </c>
      <c r="I24">
        <f t="shared" si="1"/>
        <v>0.525531914893617</v>
      </c>
      <c r="J24">
        <f t="shared" si="2"/>
        <v>0</v>
      </c>
      <c r="K24">
        <f t="shared" si="3"/>
        <v>0.808510638297872</v>
      </c>
    </row>
    <row r="25" spans="1:11">
      <c r="A25">
        <v>960</v>
      </c>
      <c r="B25">
        <v>486</v>
      </c>
      <c r="C25">
        <v>505</v>
      </c>
      <c r="D25">
        <v>0</v>
      </c>
      <c r="E25">
        <v>773</v>
      </c>
      <c r="G25">
        <v>960</v>
      </c>
      <c r="H25">
        <f t="shared" si="0"/>
        <v>0.50625</v>
      </c>
      <c r="I25">
        <f t="shared" si="1"/>
        <v>0.526041666666667</v>
      </c>
      <c r="J25">
        <f t="shared" si="2"/>
        <v>0</v>
      </c>
      <c r="K25">
        <f t="shared" si="3"/>
        <v>0.805208333333333</v>
      </c>
    </row>
    <row r="26" spans="1:11">
      <c r="A26">
        <v>980</v>
      </c>
      <c r="B26">
        <v>501</v>
      </c>
      <c r="C26">
        <v>516</v>
      </c>
      <c r="D26">
        <v>0</v>
      </c>
      <c r="E26">
        <v>789</v>
      </c>
      <c r="G26">
        <v>980</v>
      </c>
      <c r="H26">
        <f t="shared" si="0"/>
        <v>0.511224489795918</v>
      </c>
      <c r="I26">
        <f t="shared" si="1"/>
        <v>0.526530612244898</v>
      </c>
      <c r="J26">
        <f t="shared" si="2"/>
        <v>0</v>
      </c>
      <c r="K26">
        <f t="shared" si="3"/>
        <v>0.805102040816327</v>
      </c>
    </row>
    <row r="27" spans="1:11">
      <c r="A27">
        <v>1000</v>
      </c>
      <c r="B27">
        <v>513</v>
      </c>
      <c r="C27">
        <v>525</v>
      </c>
      <c r="D27">
        <v>0</v>
      </c>
      <c r="E27">
        <v>804</v>
      </c>
      <c r="G27">
        <v>1000</v>
      </c>
      <c r="H27">
        <f t="shared" si="0"/>
        <v>0.513</v>
      </c>
      <c r="I27">
        <f t="shared" si="1"/>
        <v>0.525</v>
      </c>
      <c r="J27">
        <f t="shared" si="2"/>
        <v>0</v>
      </c>
      <c r="K27">
        <f t="shared" si="3"/>
        <v>0.804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A18" workbookViewId="0">
      <selection activeCell="C38" sqref="C38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202</v>
      </c>
      <c r="C2">
        <v>257</v>
      </c>
      <c r="D2">
        <v>0</v>
      </c>
      <c r="E2">
        <v>454</v>
      </c>
      <c r="G2">
        <v>500</v>
      </c>
      <c r="H2">
        <f>B2/A2</f>
        <v>0.404</v>
      </c>
      <c r="I2">
        <f>C2/A2</f>
        <v>0.514</v>
      </c>
      <c r="J2">
        <f>D2/A2</f>
        <v>0</v>
      </c>
      <c r="K2">
        <f>E2/A2</f>
        <v>0.908</v>
      </c>
    </row>
    <row r="3" spans="1:11">
      <c r="A3">
        <v>520</v>
      </c>
      <c r="B3">
        <v>211</v>
      </c>
      <c r="C3">
        <v>266</v>
      </c>
      <c r="D3">
        <v>0</v>
      </c>
      <c r="E3">
        <v>472</v>
      </c>
      <c r="G3">
        <v>520</v>
      </c>
      <c r="H3">
        <f t="shared" ref="H3:H27" si="0">B3/A3</f>
        <v>0.405769230769231</v>
      </c>
      <c r="I3">
        <f t="shared" ref="I3:I27" si="1">C3/A3</f>
        <v>0.511538461538461</v>
      </c>
      <c r="J3">
        <f t="shared" ref="J3:J27" si="2">D3/A3</f>
        <v>0</v>
      </c>
      <c r="K3">
        <f t="shared" ref="K3:K27" si="3">E3/A3</f>
        <v>0.907692307692308</v>
      </c>
    </row>
    <row r="4" spans="1:11">
      <c r="A4">
        <v>540</v>
      </c>
      <c r="B4">
        <v>221</v>
      </c>
      <c r="C4">
        <v>276</v>
      </c>
      <c r="D4">
        <v>0</v>
      </c>
      <c r="E4">
        <v>490</v>
      </c>
      <c r="G4">
        <v>540</v>
      </c>
      <c r="H4">
        <f t="shared" si="0"/>
        <v>0.409259259259259</v>
      </c>
      <c r="I4">
        <f t="shared" si="1"/>
        <v>0.511111111111111</v>
      </c>
      <c r="J4">
        <f t="shared" si="2"/>
        <v>0</v>
      </c>
      <c r="K4">
        <f t="shared" si="3"/>
        <v>0.907407407407407</v>
      </c>
    </row>
    <row r="5" spans="1:11">
      <c r="A5">
        <v>560</v>
      </c>
      <c r="B5">
        <v>241</v>
      </c>
      <c r="C5">
        <v>287</v>
      </c>
      <c r="D5">
        <v>0</v>
      </c>
      <c r="E5">
        <v>508</v>
      </c>
      <c r="G5">
        <v>560</v>
      </c>
      <c r="H5">
        <f t="shared" si="0"/>
        <v>0.430357142857143</v>
      </c>
      <c r="I5">
        <f t="shared" si="1"/>
        <v>0.5125</v>
      </c>
      <c r="J5">
        <f t="shared" si="2"/>
        <v>0</v>
      </c>
      <c r="K5">
        <f t="shared" si="3"/>
        <v>0.907142857142857</v>
      </c>
    </row>
    <row r="6" spans="1:11">
      <c r="A6">
        <v>580</v>
      </c>
      <c r="B6">
        <v>260</v>
      </c>
      <c r="C6">
        <v>296</v>
      </c>
      <c r="D6">
        <v>0</v>
      </c>
      <c r="E6">
        <v>526</v>
      </c>
      <c r="G6">
        <v>580</v>
      </c>
      <c r="H6">
        <f t="shared" si="0"/>
        <v>0.448275862068966</v>
      </c>
      <c r="I6">
        <f t="shared" si="1"/>
        <v>0.510344827586207</v>
      </c>
      <c r="J6">
        <f t="shared" si="2"/>
        <v>0</v>
      </c>
      <c r="K6">
        <f t="shared" si="3"/>
        <v>0.906896551724138</v>
      </c>
    </row>
    <row r="7" spans="1:11">
      <c r="A7">
        <v>600</v>
      </c>
      <c r="B7">
        <v>279</v>
      </c>
      <c r="C7">
        <v>307</v>
      </c>
      <c r="D7">
        <v>0</v>
      </c>
      <c r="E7">
        <v>544</v>
      </c>
      <c r="G7">
        <v>600</v>
      </c>
      <c r="H7">
        <f t="shared" si="0"/>
        <v>0.465</v>
      </c>
      <c r="I7">
        <f t="shared" si="1"/>
        <v>0.511666666666667</v>
      </c>
      <c r="J7">
        <f t="shared" si="2"/>
        <v>0</v>
      </c>
      <c r="K7">
        <f t="shared" si="3"/>
        <v>0.906666666666667</v>
      </c>
    </row>
    <row r="8" spans="1:11">
      <c r="A8">
        <v>620</v>
      </c>
      <c r="B8">
        <v>292</v>
      </c>
      <c r="C8">
        <v>315</v>
      </c>
      <c r="D8">
        <v>0</v>
      </c>
      <c r="E8">
        <v>562</v>
      </c>
      <c r="G8">
        <v>620</v>
      </c>
      <c r="H8">
        <f t="shared" si="0"/>
        <v>0.470967741935484</v>
      </c>
      <c r="I8">
        <f t="shared" si="1"/>
        <v>0.508064516129032</v>
      </c>
      <c r="J8">
        <f t="shared" si="2"/>
        <v>0</v>
      </c>
      <c r="K8">
        <f t="shared" si="3"/>
        <v>0.906451612903226</v>
      </c>
    </row>
    <row r="9" spans="1:11">
      <c r="A9">
        <v>640</v>
      </c>
      <c r="B9">
        <v>297</v>
      </c>
      <c r="C9">
        <v>324</v>
      </c>
      <c r="D9">
        <v>0</v>
      </c>
      <c r="E9">
        <v>580</v>
      </c>
      <c r="G9">
        <v>640</v>
      </c>
      <c r="H9">
        <f t="shared" si="0"/>
        <v>0.4640625</v>
      </c>
      <c r="I9">
        <f t="shared" si="1"/>
        <v>0.50625</v>
      </c>
      <c r="J9">
        <f t="shared" si="2"/>
        <v>0</v>
      </c>
      <c r="K9">
        <f t="shared" si="3"/>
        <v>0.90625</v>
      </c>
    </row>
    <row r="10" spans="1:11">
      <c r="A10">
        <v>660</v>
      </c>
      <c r="B10">
        <v>299</v>
      </c>
      <c r="C10">
        <v>332</v>
      </c>
      <c r="D10">
        <v>0</v>
      </c>
      <c r="E10">
        <v>598</v>
      </c>
      <c r="G10">
        <v>660</v>
      </c>
      <c r="H10">
        <f t="shared" si="0"/>
        <v>0.453030303030303</v>
      </c>
      <c r="I10">
        <f t="shared" si="1"/>
        <v>0.503030303030303</v>
      </c>
      <c r="J10">
        <f t="shared" si="2"/>
        <v>0</v>
      </c>
      <c r="K10">
        <f t="shared" si="3"/>
        <v>0.906060606060606</v>
      </c>
    </row>
    <row r="11" spans="1:11">
      <c r="A11">
        <v>680</v>
      </c>
      <c r="B11">
        <v>301</v>
      </c>
      <c r="C11">
        <v>342</v>
      </c>
      <c r="D11">
        <v>0</v>
      </c>
      <c r="E11">
        <v>617</v>
      </c>
      <c r="G11">
        <v>680</v>
      </c>
      <c r="H11">
        <f t="shared" si="0"/>
        <v>0.442647058823529</v>
      </c>
      <c r="I11">
        <f t="shared" si="1"/>
        <v>0.502941176470588</v>
      </c>
      <c r="J11">
        <f t="shared" si="2"/>
        <v>0</v>
      </c>
      <c r="K11">
        <f t="shared" si="3"/>
        <v>0.907352941176471</v>
      </c>
    </row>
    <row r="12" spans="1:11">
      <c r="A12">
        <v>700</v>
      </c>
      <c r="B12">
        <v>304</v>
      </c>
      <c r="C12">
        <v>350</v>
      </c>
      <c r="D12">
        <v>0</v>
      </c>
      <c r="E12">
        <v>636</v>
      </c>
      <c r="G12">
        <v>700</v>
      </c>
      <c r="H12">
        <f t="shared" si="0"/>
        <v>0.434285714285714</v>
      </c>
      <c r="I12">
        <f t="shared" si="1"/>
        <v>0.5</v>
      </c>
      <c r="J12">
        <f t="shared" si="2"/>
        <v>0</v>
      </c>
      <c r="K12">
        <f t="shared" si="3"/>
        <v>0.908571428571429</v>
      </c>
    </row>
    <row r="13" spans="1:11">
      <c r="A13">
        <v>720</v>
      </c>
      <c r="B13">
        <v>311</v>
      </c>
      <c r="C13">
        <v>363</v>
      </c>
      <c r="D13">
        <v>0</v>
      </c>
      <c r="E13">
        <v>655</v>
      </c>
      <c r="G13">
        <v>720</v>
      </c>
      <c r="H13">
        <f t="shared" si="0"/>
        <v>0.431944444444444</v>
      </c>
      <c r="I13">
        <f t="shared" si="1"/>
        <v>0.504166666666667</v>
      </c>
      <c r="J13">
        <f t="shared" si="2"/>
        <v>0</v>
      </c>
      <c r="K13">
        <f t="shared" si="3"/>
        <v>0.909722222222222</v>
      </c>
    </row>
    <row r="14" spans="1:11">
      <c r="A14">
        <v>740</v>
      </c>
      <c r="B14">
        <v>315</v>
      </c>
      <c r="C14">
        <v>375</v>
      </c>
      <c r="D14">
        <v>0</v>
      </c>
      <c r="E14">
        <v>674</v>
      </c>
      <c r="G14">
        <v>740</v>
      </c>
      <c r="H14">
        <f t="shared" si="0"/>
        <v>0.425675675675676</v>
      </c>
      <c r="I14">
        <f t="shared" si="1"/>
        <v>0.506756756756757</v>
      </c>
      <c r="J14">
        <f t="shared" si="2"/>
        <v>0</v>
      </c>
      <c r="K14">
        <f t="shared" si="3"/>
        <v>0.910810810810811</v>
      </c>
    </row>
    <row r="15" spans="1:11">
      <c r="A15">
        <v>760</v>
      </c>
      <c r="B15">
        <v>331</v>
      </c>
      <c r="C15">
        <v>386</v>
      </c>
      <c r="D15">
        <v>0</v>
      </c>
      <c r="E15">
        <v>692</v>
      </c>
      <c r="G15">
        <v>760</v>
      </c>
      <c r="H15">
        <f t="shared" si="0"/>
        <v>0.435526315789474</v>
      </c>
      <c r="I15">
        <f t="shared" si="1"/>
        <v>0.507894736842105</v>
      </c>
      <c r="J15">
        <f t="shared" si="2"/>
        <v>0</v>
      </c>
      <c r="K15">
        <f t="shared" si="3"/>
        <v>0.910526315789474</v>
      </c>
    </row>
    <row r="16" spans="1:11">
      <c r="A16">
        <v>780</v>
      </c>
      <c r="B16">
        <v>349</v>
      </c>
      <c r="C16">
        <v>398</v>
      </c>
      <c r="D16">
        <v>0</v>
      </c>
      <c r="E16">
        <v>710</v>
      </c>
      <c r="G16">
        <v>780</v>
      </c>
      <c r="H16">
        <f t="shared" si="0"/>
        <v>0.447435897435897</v>
      </c>
      <c r="I16">
        <f t="shared" si="1"/>
        <v>0.51025641025641</v>
      </c>
      <c r="J16">
        <f t="shared" si="2"/>
        <v>0</v>
      </c>
      <c r="K16">
        <f t="shared" si="3"/>
        <v>0.91025641025641</v>
      </c>
    </row>
    <row r="17" spans="1:11">
      <c r="A17">
        <v>800</v>
      </c>
      <c r="B17">
        <v>368</v>
      </c>
      <c r="C17">
        <v>407</v>
      </c>
      <c r="D17">
        <v>0</v>
      </c>
      <c r="E17">
        <v>728</v>
      </c>
      <c r="G17">
        <v>800</v>
      </c>
      <c r="H17">
        <f t="shared" si="0"/>
        <v>0.46</v>
      </c>
      <c r="I17">
        <f t="shared" si="1"/>
        <v>0.50875</v>
      </c>
      <c r="J17">
        <f t="shared" si="2"/>
        <v>0</v>
      </c>
      <c r="K17">
        <f t="shared" si="3"/>
        <v>0.91</v>
      </c>
    </row>
    <row r="18" spans="1:11">
      <c r="A18">
        <v>820</v>
      </c>
      <c r="B18">
        <v>383</v>
      </c>
      <c r="C18">
        <v>417</v>
      </c>
      <c r="D18">
        <v>0</v>
      </c>
      <c r="E18">
        <v>746</v>
      </c>
      <c r="G18">
        <v>820</v>
      </c>
      <c r="H18">
        <f t="shared" si="0"/>
        <v>0.467073170731707</v>
      </c>
      <c r="I18">
        <f t="shared" si="1"/>
        <v>0.508536585365854</v>
      </c>
      <c r="J18">
        <f t="shared" si="2"/>
        <v>0</v>
      </c>
      <c r="K18">
        <f t="shared" si="3"/>
        <v>0.909756097560976</v>
      </c>
    </row>
    <row r="19" spans="1:11">
      <c r="A19">
        <v>840</v>
      </c>
      <c r="B19">
        <v>394</v>
      </c>
      <c r="C19">
        <v>431</v>
      </c>
      <c r="D19">
        <v>0</v>
      </c>
      <c r="E19">
        <v>764</v>
      </c>
      <c r="G19">
        <v>840</v>
      </c>
      <c r="H19">
        <f t="shared" si="0"/>
        <v>0.469047619047619</v>
      </c>
      <c r="I19">
        <f t="shared" si="1"/>
        <v>0.513095238095238</v>
      </c>
      <c r="J19">
        <f t="shared" si="2"/>
        <v>0</v>
      </c>
      <c r="K19">
        <f t="shared" si="3"/>
        <v>0.90952380952381</v>
      </c>
    </row>
    <row r="20" spans="1:11">
      <c r="A20">
        <v>860</v>
      </c>
      <c r="B20">
        <v>397</v>
      </c>
      <c r="C20">
        <v>442</v>
      </c>
      <c r="D20">
        <v>0</v>
      </c>
      <c r="E20">
        <v>782</v>
      </c>
      <c r="G20">
        <v>860</v>
      </c>
      <c r="H20">
        <f t="shared" si="0"/>
        <v>0.461627906976744</v>
      </c>
      <c r="I20">
        <f t="shared" si="1"/>
        <v>0.513953488372093</v>
      </c>
      <c r="J20">
        <f t="shared" si="2"/>
        <v>0</v>
      </c>
      <c r="K20">
        <f t="shared" si="3"/>
        <v>0.909302325581395</v>
      </c>
    </row>
    <row r="21" spans="1:11">
      <c r="A21">
        <v>880</v>
      </c>
      <c r="B21">
        <v>399</v>
      </c>
      <c r="C21">
        <v>452</v>
      </c>
      <c r="D21">
        <v>0</v>
      </c>
      <c r="E21">
        <v>800</v>
      </c>
      <c r="G21">
        <v>880</v>
      </c>
      <c r="H21">
        <f t="shared" si="0"/>
        <v>0.453409090909091</v>
      </c>
      <c r="I21">
        <f t="shared" si="1"/>
        <v>0.513636363636364</v>
      </c>
      <c r="J21">
        <f t="shared" si="2"/>
        <v>0</v>
      </c>
      <c r="K21">
        <f t="shared" si="3"/>
        <v>0.909090909090909</v>
      </c>
    </row>
    <row r="22" spans="1:11">
      <c r="A22">
        <v>900</v>
      </c>
      <c r="B22">
        <v>405</v>
      </c>
      <c r="C22">
        <v>462</v>
      </c>
      <c r="D22">
        <v>0</v>
      </c>
      <c r="E22">
        <v>818</v>
      </c>
      <c r="G22">
        <v>900</v>
      </c>
      <c r="H22">
        <f t="shared" si="0"/>
        <v>0.45</v>
      </c>
      <c r="I22">
        <f t="shared" si="1"/>
        <v>0.513333333333333</v>
      </c>
      <c r="J22">
        <f t="shared" si="2"/>
        <v>0</v>
      </c>
      <c r="K22">
        <f t="shared" si="3"/>
        <v>0.908888888888889</v>
      </c>
    </row>
    <row r="23" spans="1:11">
      <c r="A23">
        <v>920</v>
      </c>
      <c r="B23">
        <v>411</v>
      </c>
      <c r="C23">
        <v>473</v>
      </c>
      <c r="D23">
        <v>0</v>
      </c>
      <c r="E23">
        <v>836</v>
      </c>
      <c r="G23">
        <v>920</v>
      </c>
      <c r="H23">
        <f t="shared" si="0"/>
        <v>0.446739130434783</v>
      </c>
      <c r="I23">
        <f t="shared" si="1"/>
        <v>0.514130434782609</v>
      </c>
      <c r="J23">
        <f t="shared" si="2"/>
        <v>0</v>
      </c>
      <c r="K23">
        <f t="shared" si="3"/>
        <v>0.908695652173913</v>
      </c>
    </row>
    <row r="24" spans="1:11">
      <c r="A24">
        <v>940</v>
      </c>
      <c r="B24">
        <v>416</v>
      </c>
      <c r="C24">
        <v>487</v>
      </c>
      <c r="D24">
        <v>0</v>
      </c>
      <c r="E24">
        <v>854</v>
      </c>
      <c r="G24">
        <v>940</v>
      </c>
      <c r="H24">
        <f t="shared" si="0"/>
        <v>0.442553191489362</v>
      </c>
      <c r="I24">
        <f t="shared" si="1"/>
        <v>0.518085106382979</v>
      </c>
      <c r="J24">
        <f t="shared" si="2"/>
        <v>0</v>
      </c>
      <c r="K24">
        <f t="shared" si="3"/>
        <v>0.908510638297872</v>
      </c>
    </row>
    <row r="25" spans="1:11">
      <c r="A25">
        <v>960</v>
      </c>
      <c r="B25">
        <v>427</v>
      </c>
      <c r="C25">
        <v>497</v>
      </c>
      <c r="D25">
        <v>0</v>
      </c>
      <c r="E25">
        <v>872</v>
      </c>
      <c r="G25">
        <v>960</v>
      </c>
      <c r="H25">
        <f t="shared" si="0"/>
        <v>0.444791666666667</v>
      </c>
      <c r="I25">
        <f t="shared" si="1"/>
        <v>0.517708333333333</v>
      </c>
      <c r="J25">
        <f t="shared" si="2"/>
        <v>0</v>
      </c>
      <c r="K25">
        <f t="shared" si="3"/>
        <v>0.908333333333333</v>
      </c>
    </row>
    <row r="26" spans="1:11">
      <c r="A26">
        <v>980</v>
      </c>
      <c r="B26">
        <v>442</v>
      </c>
      <c r="C26">
        <v>507</v>
      </c>
      <c r="D26">
        <v>0</v>
      </c>
      <c r="E26">
        <v>890</v>
      </c>
      <c r="G26">
        <v>980</v>
      </c>
      <c r="H26">
        <f t="shared" si="0"/>
        <v>0.451020408163265</v>
      </c>
      <c r="I26">
        <f t="shared" si="1"/>
        <v>0.51734693877551</v>
      </c>
      <c r="J26">
        <f t="shared" si="2"/>
        <v>0</v>
      </c>
      <c r="K26">
        <f t="shared" si="3"/>
        <v>0.908163265306122</v>
      </c>
    </row>
    <row r="27" spans="1:11">
      <c r="A27">
        <v>1000</v>
      </c>
      <c r="B27">
        <v>461</v>
      </c>
      <c r="C27">
        <v>520</v>
      </c>
      <c r="D27">
        <v>0</v>
      </c>
      <c r="E27">
        <v>908</v>
      </c>
      <c r="G27">
        <v>1000</v>
      </c>
      <c r="H27">
        <f t="shared" si="0"/>
        <v>0.461</v>
      </c>
      <c r="I27">
        <f t="shared" si="1"/>
        <v>0.52</v>
      </c>
      <c r="J27">
        <f t="shared" si="2"/>
        <v>0</v>
      </c>
      <c r="K27">
        <f t="shared" si="3"/>
        <v>0.908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N12" sqref="N12"/>
    </sheetView>
  </sheetViews>
  <sheetFormatPr defaultColWidth="9" defaultRowHeight="14"/>
  <cols>
    <col min="8" max="9" width="12.625"/>
    <col min="11" max="11" width="12.625"/>
  </cols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202</v>
      </c>
      <c r="C2">
        <v>240</v>
      </c>
      <c r="D2">
        <v>0</v>
      </c>
      <c r="E2">
        <v>472</v>
      </c>
      <c r="G2">
        <v>500</v>
      </c>
      <c r="H2">
        <f>B2/A2</f>
        <v>0.404</v>
      </c>
      <c r="I2">
        <f>C2/A2</f>
        <v>0.48</v>
      </c>
      <c r="J2">
        <f>D2/A2</f>
        <v>0</v>
      </c>
      <c r="K2">
        <f>E2/A2</f>
        <v>0.944</v>
      </c>
    </row>
    <row r="3" spans="1:11">
      <c r="A3">
        <v>520</v>
      </c>
      <c r="B3">
        <v>220</v>
      </c>
      <c r="C3">
        <v>254</v>
      </c>
      <c r="D3">
        <v>0</v>
      </c>
      <c r="E3">
        <v>491</v>
      </c>
      <c r="G3">
        <v>520</v>
      </c>
      <c r="H3">
        <f t="shared" ref="H3:H27" si="0">B3/A3</f>
        <v>0.423076923076923</v>
      </c>
      <c r="I3">
        <f t="shared" ref="I3:I27" si="1">C3/A3</f>
        <v>0.488461538461538</v>
      </c>
      <c r="J3">
        <f t="shared" ref="J3:J27" si="2">D3/A3</f>
        <v>0</v>
      </c>
      <c r="K3">
        <f t="shared" ref="K3:K27" si="3">E3/A3</f>
        <v>0.944230769230769</v>
      </c>
    </row>
    <row r="4" spans="1:11">
      <c r="A4">
        <v>540</v>
      </c>
      <c r="B4">
        <v>237</v>
      </c>
      <c r="C4">
        <v>265</v>
      </c>
      <c r="D4">
        <v>0</v>
      </c>
      <c r="E4">
        <v>510</v>
      </c>
      <c r="G4">
        <v>540</v>
      </c>
      <c r="H4">
        <f t="shared" si="0"/>
        <v>0.438888888888889</v>
      </c>
      <c r="I4">
        <f t="shared" si="1"/>
        <v>0.490740740740741</v>
      </c>
      <c r="J4">
        <f t="shared" si="2"/>
        <v>0</v>
      </c>
      <c r="K4">
        <f t="shared" si="3"/>
        <v>0.944444444444444</v>
      </c>
    </row>
    <row r="5" spans="1:11">
      <c r="A5">
        <v>560</v>
      </c>
      <c r="B5">
        <v>253</v>
      </c>
      <c r="C5">
        <v>274</v>
      </c>
      <c r="D5">
        <v>0</v>
      </c>
      <c r="E5">
        <v>529</v>
      </c>
      <c r="G5">
        <v>560</v>
      </c>
      <c r="H5">
        <f t="shared" si="0"/>
        <v>0.451785714285714</v>
      </c>
      <c r="I5">
        <f t="shared" si="1"/>
        <v>0.489285714285714</v>
      </c>
      <c r="J5">
        <f t="shared" si="2"/>
        <v>0</v>
      </c>
      <c r="K5">
        <f t="shared" si="3"/>
        <v>0.944642857142857</v>
      </c>
    </row>
    <row r="6" spans="1:11">
      <c r="A6">
        <v>580</v>
      </c>
      <c r="B6">
        <v>273</v>
      </c>
      <c r="C6">
        <v>281</v>
      </c>
      <c r="D6">
        <v>0</v>
      </c>
      <c r="E6">
        <v>548</v>
      </c>
      <c r="G6">
        <v>580</v>
      </c>
      <c r="H6">
        <f t="shared" si="0"/>
        <v>0.470689655172414</v>
      </c>
      <c r="I6">
        <f t="shared" si="1"/>
        <v>0.48448275862069</v>
      </c>
      <c r="J6">
        <f t="shared" si="2"/>
        <v>0</v>
      </c>
      <c r="K6">
        <f t="shared" si="3"/>
        <v>0.944827586206897</v>
      </c>
    </row>
    <row r="7" spans="1:11">
      <c r="A7">
        <v>600</v>
      </c>
      <c r="B7">
        <v>293</v>
      </c>
      <c r="C7">
        <v>291</v>
      </c>
      <c r="D7">
        <v>0</v>
      </c>
      <c r="E7">
        <v>567</v>
      </c>
      <c r="G7">
        <v>600</v>
      </c>
      <c r="H7">
        <f t="shared" si="0"/>
        <v>0.488333333333333</v>
      </c>
      <c r="I7">
        <f t="shared" si="1"/>
        <v>0.485</v>
      </c>
      <c r="J7">
        <f t="shared" si="2"/>
        <v>0</v>
      </c>
      <c r="K7">
        <f t="shared" si="3"/>
        <v>0.945</v>
      </c>
    </row>
    <row r="8" spans="1:11">
      <c r="A8">
        <v>620</v>
      </c>
      <c r="B8">
        <v>301</v>
      </c>
      <c r="C8">
        <v>299</v>
      </c>
      <c r="D8">
        <v>0</v>
      </c>
      <c r="E8">
        <v>586</v>
      </c>
      <c r="G8">
        <v>620</v>
      </c>
      <c r="H8">
        <f t="shared" si="0"/>
        <v>0.485483870967742</v>
      </c>
      <c r="I8">
        <f t="shared" si="1"/>
        <v>0.482258064516129</v>
      </c>
      <c r="J8">
        <f t="shared" si="2"/>
        <v>0</v>
      </c>
      <c r="K8">
        <f t="shared" si="3"/>
        <v>0.945161290322581</v>
      </c>
    </row>
    <row r="9" spans="1:11">
      <c r="A9">
        <v>640</v>
      </c>
      <c r="B9">
        <v>303</v>
      </c>
      <c r="C9">
        <v>311</v>
      </c>
      <c r="D9">
        <v>0</v>
      </c>
      <c r="E9">
        <v>605</v>
      </c>
      <c r="G9">
        <v>640</v>
      </c>
      <c r="H9">
        <f t="shared" si="0"/>
        <v>0.4734375</v>
      </c>
      <c r="I9">
        <f t="shared" si="1"/>
        <v>0.4859375</v>
      </c>
      <c r="J9">
        <f t="shared" si="2"/>
        <v>0</v>
      </c>
      <c r="K9">
        <f t="shared" si="3"/>
        <v>0.9453125</v>
      </c>
    </row>
    <row r="10" spans="1:11">
      <c r="A10">
        <v>660</v>
      </c>
      <c r="B10">
        <v>303</v>
      </c>
      <c r="C10">
        <v>324</v>
      </c>
      <c r="D10">
        <v>0</v>
      </c>
      <c r="E10">
        <v>624</v>
      </c>
      <c r="G10">
        <v>660</v>
      </c>
      <c r="H10">
        <f t="shared" si="0"/>
        <v>0.459090909090909</v>
      </c>
      <c r="I10">
        <f t="shared" si="1"/>
        <v>0.490909090909091</v>
      </c>
      <c r="J10">
        <f t="shared" si="2"/>
        <v>0</v>
      </c>
      <c r="K10">
        <f t="shared" si="3"/>
        <v>0.945454545454545</v>
      </c>
    </row>
    <row r="11" spans="1:11">
      <c r="A11">
        <v>680</v>
      </c>
      <c r="B11">
        <v>303</v>
      </c>
      <c r="C11">
        <v>330</v>
      </c>
      <c r="D11">
        <v>0</v>
      </c>
      <c r="E11">
        <v>643</v>
      </c>
      <c r="G11">
        <v>680</v>
      </c>
      <c r="H11">
        <f t="shared" si="0"/>
        <v>0.445588235294118</v>
      </c>
      <c r="I11">
        <f t="shared" si="1"/>
        <v>0.485294117647059</v>
      </c>
      <c r="J11">
        <f t="shared" si="2"/>
        <v>0</v>
      </c>
      <c r="K11">
        <f t="shared" si="3"/>
        <v>0.945588235294118</v>
      </c>
    </row>
    <row r="12" spans="1:11">
      <c r="A12">
        <v>700</v>
      </c>
      <c r="B12">
        <v>303</v>
      </c>
      <c r="C12">
        <v>340</v>
      </c>
      <c r="D12">
        <v>0</v>
      </c>
      <c r="E12">
        <v>662</v>
      </c>
      <c r="G12">
        <v>700</v>
      </c>
      <c r="H12">
        <f t="shared" si="0"/>
        <v>0.432857142857143</v>
      </c>
      <c r="I12">
        <f t="shared" si="1"/>
        <v>0.485714285714286</v>
      </c>
      <c r="J12">
        <f t="shared" si="2"/>
        <v>0</v>
      </c>
      <c r="K12">
        <f t="shared" si="3"/>
        <v>0.945714285714286</v>
      </c>
    </row>
    <row r="13" spans="1:11">
      <c r="A13">
        <v>720</v>
      </c>
      <c r="B13">
        <v>321</v>
      </c>
      <c r="C13">
        <v>353</v>
      </c>
      <c r="D13">
        <v>0</v>
      </c>
      <c r="E13">
        <v>681</v>
      </c>
      <c r="G13">
        <v>720</v>
      </c>
      <c r="H13">
        <f t="shared" si="0"/>
        <v>0.445833333333333</v>
      </c>
      <c r="I13">
        <f t="shared" si="1"/>
        <v>0.490277777777778</v>
      </c>
      <c r="J13">
        <f t="shared" si="2"/>
        <v>0</v>
      </c>
      <c r="K13">
        <f t="shared" si="3"/>
        <v>0.945833333333333</v>
      </c>
    </row>
    <row r="14" spans="1:11">
      <c r="A14">
        <v>740</v>
      </c>
      <c r="B14">
        <v>338</v>
      </c>
      <c r="C14">
        <v>362</v>
      </c>
      <c r="D14">
        <v>0</v>
      </c>
      <c r="E14">
        <v>700</v>
      </c>
      <c r="G14">
        <v>740</v>
      </c>
      <c r="H14">
        <f t="shared" si="0"/>
        <v>0.456756756756757</v>
      </c>
      <c r="I14">
        <f t="shared" si="1"/>
        <v>0.489189189189189</v>
      </c>
      <c r="J14">
        <f t="shared" si="2"/>
        <v>0</v>
      </c>
      <c r="K14">
        <f t="shared" si="3"/>
        <v>0.945945945945946</v>
      </c>
    </row>
    <row r="15" spans="1:11">
      <c r="A15">
        <v>760</v>
      </c>
      <c r="B15">
        <v>354</v>
      </c>
      <c r="C15">
        <v>369</v>
      </c>
      <c r="D15">
        <v>0</v>
      </c>
      <c r="E15">
        <v>719</v>
      </c>
      <c r="G15">
        <v>760</v>
      </c>
      <c r="H15">
        <f t="shared" si="0"/>
        <v>0.465789473684211</v>
      </c>
      <c r="I15">
        <f t="shared" si="1"/>
        <v>0.485526315789474</v>
      </c>
      <c r="J15">
        <f t="shared" si="2"/>
        <v>0</v>
      </c>
      <c r="K15">
        <f t="shared" si="3"/>
        <v>0.946052631578947</v>
      </c>
    </row>
    <row r="16" spans="1:11">
      <c r="A16">
        <v>780</v>
      </c>
      <c r="B16">
        <v>374</v>
      </c>
      <c r="C16">
        <v>377</v>
      </c>
      <c r="D16">
        <v>0</v>
      </c>
      <c r="E16">
        <v>738</v>
      </c>
      <c r="G16">
        <v>780</v>
      </c>
      <c r="H16">
        <f t="shared" si="0"/>
        <v>0.47948717948718</v>
      </c>
      <c r="I16">
        <f t="shared" si="1"/>
        <v>0.483333333333333</v>
      </c>
      <c r="J16">
        <f t="shared" si="2"/>
        <v>0</v>
      </c>
      <c r="K16">
        <f t="shared" si="3"/>
        <v>0.946153846153846</v>
      </c>
    </row>
    <row r="17" spans="1:11">
      <c r="A17">
        <v>800</v>
      </c>
      <c r="B17">
        <v>391</v>
      </c>
      <c r="C17">
        <v>386</v>
      </c>
      <c r="D17">
        <v>0</v>
      </c>
      <c r="E17">
        <v>757</v>
      </c>
      <c r="G17">
        <v>800</v>
      </c>
      <c r="H17">
        <f t="shared" si="0"/>
        <v>0.48875</v>
      </c>
      <c r="I17">
        <f t="shared" si="1"/>
        <v>0.4825</v>
      </c>
      <c r="J17">
        <f t="shared" si="2"/>
        <v>0</v>
      </c>
      <c r="K17">
        <f t="shared" si="3"/>
        <v>0.94625</v>
      </c>
    </row>
    <row r="18" spans="1:11">
      <c r="A18">
        <v>820</v>
      </c>
      <c r="B18">
        <v>402</v>
      </c>
      <c r="C18">
        <v>397</v>
      </c>
      <c r="D18">
        <v>0</v>
      </c>
      <c r="E18">
        <v>776</v>
      </c>
      <c r="G18">
        <v>820</v>
      </c>
      <c r="H18">
        <f t="shared" si="0"/>
        <v>0.490243902439024</v>
      </c>
      <c r="I18">
        <f t="shared" si="1"/>
        <v>0.484146341463415</v>
      </c>
      <c r="J18">
        <f t="shared" si="2"/>
        <v>0</v>
      </c>
      <c r="K18">
        <f t="shared" si="3"/>
        <v>0.946341463414634</v>
      </c>
    </row>
    <row r="19" spans="1:11">
      <c r="A19">
        <v>840</v>
      </c>
      <c r="B19">
        <v>404</v>
      </c>
      <c r="C19">
        <v>407</v>
      </c>
      <c r="D19">
        <v>0</v>
      </c>
      <c r="E19">
        <v>795</v>
      </c>
      <c r="G19">
        <v>840</v>
      </c>
      <c r="H19">
        <f t="shared" si="0"/>
        <v>0.480952380952381</v>
      </c>
      <c r="I19">
        <f t="shared" si="1"/>
        <v>0.48452380952381</v>
      </c>
      <c r="J19">
        <f t="shared" si="2"/>
        <v>0</v>
      </c>
      <c r="K19">
        <f t="shared" si="3"/>
        <v>0.946428571428571</v>
      </c>
    </row>
    <row r="20" spans="1:11">
      <c r="A20">
        <v>860</v>
      </c>
      <c r="B20">
        <v>404</v>
      </c>
      <c r="C20">
        <v>415</v>
      </c>
      <c r="D20">
        <v>0</v>
      </c>
      <c r="E20">
        <v>814</v>
      </c>
      <c r="G20">
        <v>860</v>
      </c>
      <c r="H20">
        <f t="shared" si="0"/>
        <v>0.469767441860465</v>
      </c>
      <c r="I20">
        <f t="shared" si="1"/>
        <v>0.482558139534884</v>
      </c>
      <c r="J20">
        <f t="shared" si="2"/>
        <v>0</v>
      </c>
      <c r="K20">
        <f t="shared" si="3"/>
        <v>0.946511627906977</v>
      </c>
    </row>
    <row r="21" spans="1:11">
      <c r="A21">
        <v>880</v>
      </c>
      <c r="B21">
        <v>404</v>
      </c>
      <c r="C21">
        <v>424</v>
      </c>
      <c r="D21">
        <v>0</v>
      </c>
      <c r="E21">
        <v>833</v>
      </c>
      <c r="G21">
        <v>880</v>
      </c>
      <c r="H21">
        <f t="shared" si="0"/>
        <v>0.459090909090909</v>
      </c>
      <c r="I21">
        <f t="shared" si="1"/>
        <v>0.481818181818182</v>
      </c>
      <c r="J21">
        <f t="shared" si="2"/>
        <v>0</v>
      </c>
      <c r="K21">
        <f t="shared" si="3"/>
        <v>0.946590909090909</v>
      </c>
    </row>
    <row r="22" spans="1:11">
      <c r="A22">
        <v>900</v>
      </c>
      <c r="B22">
        <v>404</v>
      </c>
      <c r="C22">
        <v>431</v>
      </c>
      <c r="D22">
        <v>0</v>
      </c>
      <c r="E22">
        <v>852</v>
      </c>
      <c r="G22">
        <v>900</v>
      </c>
      <c r="H22">
        <f t="shared" si="0"/>
        <v>0.448888888888889</v>
      </c>
      <c r="I22">
        <f t="shared" si="1"/>
        <v>0.478888888888889</v>
      </c>
      <c r="J22">
        <f t="shared" si="2"/>
        <v>0</v>
      </c>
      <c r="K22">
        <f t="shared" si="3"/>
        <v>0.946666666666667</v>
      </c>
    </row>
    <row r="23" spans="1:11">
      <c r="A23">
        <v>920</v>
      </c>
      <c r="B23">
        <v>421</v>
      </c>
      <c r="C23">
        <v>441</v>
      </c>
      <c r="D23">
        <v>0</v>
      </c>
      <c r="E23">
        <v>871</v>
      </c>
      <c r="G23">
        <v>920</v>
      </c>
      <c r="H23">
        <f t="shared" si="0"/>
        <v>0.457608695652174</v>
      </c>
      <c r="I23">
        <f t="shared" si="1"/>
        <v>0.479347826086957</v>
      </c>
      <c r="J23">
        <f t="shared" si="2"/>
        <v>0</v>
      </c>
      <c r="K23">
        <f t="shared" si="3"/>
        <v>0.946739130434783</v>
      </c>
    </row>
    <row r="24" spans="1:11">
      <c r="A24">
        <v>940</v>
      </c>
      <c r="B24">
        <v>439</v>
      </c>
      <c r="C24">
        <v>450</v>
      </c>
      <c r="D24">
        <v>0</v>
      </c>
      <c r="E24">
        <v>890</v>
      </c>
      <c r="G24">
        <v>940</v>
      </c>
      <c r="H24">
        <f t="shared" si="0"/>
        <v>0.467021276595745</v>
      </c>
      <c r="I24">
        <f t="shared" si="1"/>
        <v>0.478723404255319</v>
      </c>
      <c r="J24">
        <f t="shared" si="2"/>
        <v>0</v>
      </c>
      <c r="K24">
        <f t="shared" si="3"/>
        <v>0.946808510638298</v>
      </c>
    </row>
    <row r="25" spans="1:11">
      <c r="A25">
        <v>960</v>
      </c>
      <c r="B25">
        <v>453</v>
      </c>
      <c r="C25">
        <v>459</v>
      </c>
      <c r="D25">
        <v>0</v>
      </c>
      <c r="E25">
        <v>909</v>
      </c>
      <c r="G25">
        <v>960</v>
      </c>
      <c r="H25">
        <f t="shared" si="0"/>
        <v>0.471875</v>
      </c>
      <c r="I25">
        <f t="shared" si="1"/>
        <v>0.478125</v>
      </c>
      <c r="J25">
        <f t="shared" si="2"/>
        <v>0</v>
      </c>
      <c r="K25">
        <f t="shared" si="3"/>
        <v>0.946875</v>
      </c>
    </row>
    <row r="26" spans="1:11">
      <c r="A26">
        <v>980</v>
      </c>
      <c r="B26">
        <v>472</v>
      </c>
      <c r="C26">
        <v>465</v>
      </c>
      <c r="D26">
        <v>0</v>
      </c>
      <c r="E26">
        <v>928</v>
      </c>
      <c r="G26">
        <v>980</v>
      </c>
      <c r="H26">
        <f t="shared" si="0"/>
        <v>0.481632653061224</v>
      </c>
      <c r="I26">
        <f t="shared" si="1"/>
        <v>0.474489795918367</v>
      </c>
      <c r="J26">
        <f t="shared" si="2"/>
        <v>0</v>
      </c>
      <c r="K26">
        <f t="shared" si="3"/>
        <v>0.946938775510204</v>
      </c>
    </row>
    <row r="27" spans="1:11">
      <c r="A27">
        <v>1000</v>
      </c>
      <c r="B27">
        <v>492</v>
      </c>
      <c r="C27">
        <v>472</v>
      </c>
      <c r="D27">
        <v>0</v>
      </c>
      <c r="E27">
        <v>947</v>
      </c>
      <c r="G27">
        <v>1000</v>
      </c>
      <c r="H27">
        <f t="shared" si="0"/>
        <v>0.492</v>
      </c>
      <c r="I27">
        <f t="shared" si="1"/>
        <v>0.472</v>
      </c>
      <c r="J27">
        <f t="shared" si="2"/>
        <v>0</v>
      </c>
      <c r="K27">
        <f t="shared" si="3"/>
        <v>0.947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D2" sqref="D2:D27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202</v>
      </c>
      <c r="C2">
        <v>242</v>
      </c>
      <c r="D2">
        <v>0</v>
      </c>
      <c r="E2">
        <v>500</v>
      </c>
      <c r="G2">
        <v>500</v>
      </c>
      <c r="H2">
        <f>B2/A2</f>
        <v>0.404</v>
      </c>
      <c r="I2">
        <f>C2/A2</f>
        <v>0.484</v>
      </c>
      <c r="J2">
        <f>D2/A2</f>
        <v>0</v>
      </c>
      <c r="K2">
        <f>E2/A2</f>
        <v>1</v>
      </c>
    </row>
    <row r="3" spans="1:11">
      <c r="A3">
        <v>520</v>
      </c>
      <c r="B3">
        <v>219</v>
      </c>
      <c r="C3">
        <v>251</v>
      </c>
      <c r="D3">
        <v>0</v>
      </c>
      <c r="E3">
        <v>520</v>
      </c>
      <c r="G3">
        <v>520</v>
      </c>
      <c r="H3">
        <f t="shared" ref="H3:H27" si="0">B3/A3</f>
        <v>0.421153846153846</v>
      </c>
      <c r="I3">
        <f t="shared" ref="I3:I27" si="1">C3/A3</f>
        <v>0.482692307692308</v>
      </c>
      <c r="J3">
        <f t="shared" ref="J3:J27" si="2">D3/A3</f>
        <v>0</v>
      </c>
      <c r="K3">
        <f t="shared" ref="K3:K27" si="3">E3/A3</f>
        <v>1</v>
      </c>
    </row>
    <row r="4" spans="1:11">
      <c r="A4">
        <v>540</v>
      </c>
      <c r="B4">
        <v>239</v>
      </c>
      <c r="C4">
        <v>258</v>
      </c>
      <c r="D4">
        <v>0</v>
      </c>
      <c r="E4">
        <v>540</v>
      </c>
      <c r="G4">
        <v>540</v>
      </c>
      <c r="H4">
        <f t="shared" si="0"/>
        <v>0.442592592592593</v>
      </c>
      <c r="I4">
        <f t="shared" si="1"/>
        <v>0.477777777777778</v>
      </c>
      <c r="J4">
        <f t="shared" si="2"/>
        <v>0</v>
      </c>
      <c r="K4">
        <f t="shared" si="3"/>
        <v>1</v>
      </c>
    </row>
    <row r="5" spans="1:11">
      <c r="A5">
        <v>560</v>
      </c>
      <c r="B5">
        <v>255</v>
      </c>
      <c r="C5">
        <v>269</v>
      </c>
      <c r="D5">
        <v>0</v>
      </c>
      <c r="E5">
        <v>560</v>
      </c>
      <c r="G5">
        <v>560</v>
      </c>
      <c r="H5">
        <f t="shared" si="0"/>
        <v>0.455357142857143</v>
      </c>
      <c r="I5">
        <f t="shared" si="1"/>
        <v>0.480357142857143</v>
      </c>
      <c r="J5">
        <f t="shared" si="2"/>
        <v>0</v>
      </c>
      <c r="K5">
        <f t="shared" si="3"/>
        <v>1</v>
      </c>
    </row>
    <row r="6" spans="1:11">
      <c r="A6">
        <v>580</v>
      </c>
      <c r="B6">
        <v>275</v>
      </c>
      <c r="C6">
        <v>276</v>
      </c>
      <c r="D6">
        <v>0</v>
      </c>
      <c r="E6">
        <v>580</v>
      </c>
      <c r="G6">
        <v>580</v>
      </c>
      <c r="H6">
        <f t="shared" si="0"/>
        <v>0.474137931034483</v>
      </c>
      <c r="I6">
        <f t="shared" si="1"/>
        <v>0.475862068965517</v>
      </c>
      <c r="J6">
        <f t="shared" si="2"/>
        <v>0</v>
      </c>
      <c r="K6">
        <f t="shared" si="3"/>
        <v>1</v>
      </c>
    </row>
    <row r="7" spans="1:11">
      <c r="A7">
        <v>600</v>
      </c>
      <c r="B7">
        <v>295</v>
      </c>
      <c r="C7">
        <v>286</v>
      </c>
      <c r="D7">
        <v>0</v>
      </c>
      <c r="E7">
        <v>600</v>
      </c>
      <c r="G7">
        <v>600</v>
      </c>
      <c r="H7">
        <f t="shared" si="0"/>
        <v>0.491666666666667</v>
      </c>
      <c r="I7">
        <f t="shared" si="1"/>
        <v>0.476666666666667</v>
      </c>
      <c r="J7">
        <f t="shared" si="2"/>
        <v>0</v>
      </c>
      <c r="K7">
        <f t="shared" si="3"/>
        <v>1</v>
      </c>
    </row>
    <row r="8" spans="1:11">
      <c r="A8">
        <v>620</v>
      </c>
      <c r="B8">
        <v>303</v>
      </c>
      <c r="C8">
        <v>293</v>
      </c>
      <c r="D8">
        <v>0</v>
      </c>
      <c r="E8">
        <v>620</v>
      </c>
      <c r="G8">
        <v>620</v>
      </c>
      <c r="H8">
        <f t="shared" si="0"/>
        <v>0.488709677419355</v>
      </c>
      <c r="I8">
        <f t="shared" si="1"/>
        <v>0.47258064516129</v>
      </c>
      <c r="J8">
        <f t="shared" si="2"/>
        <v>0</v>
      </c>
      <c r="K8">
        <f t="shared" si="3"/>
        <v>1</v>
      </c>
    </row>
    <row r="9" spans="1:11">
      <c r="A9">
        <v>640</v>
      </c>
      <c r="B9">
        <v>303</v>
      </c>
      <c r="C9">
        <v>301</v>
      </c>
      <c r="D9">
        <v>0</v>
      </c>
      <c r="E9">
        <v>640</v>
      </c>
      <c r="G9">
        <v>640</v>
      </c>
      <c r="H9">
        <f t="shared" si="0"/>
        <v>0.4734375</v>
      </c>
      <c r="I9">
        <f t="shared" si="1"/>
        <v>0.4703125</v>
      </c>
      <c r="J9">
        <f t="shared" si="2"/>
        <v>0</v>
      </c>
      <c r="K9">
        <f t="shared" si="3"/>
        <v>1</v>
      </c>
    </row>
    <row r="10" spans="1:11">
      <c r="A10">
        <v>660</v>
      </c>
      <c r="B10">
        <v>303</v>
      </c>
      <c r="C10">
        <v>310</v>
      </c>
      <c r="D10">
        <v>0</v>
      </c>
      <c r="E10">
        <v>660</v>
      </c>
      <c r="G10">
        <v>660</v>
      </c>
      <c r="H10">
        <f t="shared" si="0"/>
        <v>0.459090909090909</v>
      </c>
      <c r="I10">
        <f t="shared" si="1"/>
        <v>0.46969696969697</v>
      </c>
      <c r="J10">
        <f t="shared" si="2"/>
        <v>0</v>
      </c>
      <c r="K10">
        <f t="shared" si="3"/>
        <v>1</v>
      </c>
    </row>
    <row r="11" spans="1:11">
      <c r="A11">
        <v>680</v>
      </c>
      <c r="B11">
        <v>303</v>
      </c>
      <c r="C11">
        <v>322</v>
      </c>
      <c r="D11">
        <v>0</v>
      </c>
      <c r="E11">
        <v>680</v>
      </c>
      <c r="G11">
        <v>680</v>
      </c>
      <c r="H11">
        <f t="shared" si="0"/>
        <v>0.445588235294118</v>
      </c>
      <c r="I11">
        <f t="shared" si="1"/>
        <v>0.473529411764706</v>
      </c>
      <c r="J11">
        <f t="shared" si="2"/>
        <v>0</v>
      </c>
      <c r="K11">
        <f t="shared" si="3"/>
        <v>1</v>
      </c>
    </row>
    <row r="12" spans="1:11">
      <c r="A12">
        <v>700</v>
      </c>
      <c r="B12">
        <v>303</v>
      </c>
      <c r="C12">
        <v>333</v>
      </c>
      <c r="D12">
        <v>0</v>
      </c>
      <c r="E12">
        <v>700</v>
      </c>
      <c r="G12">
        <v>700</v>
      </c>
      <c r="H12">
        <f t="shared" si="0"/>
        <v>0.432857142857143</v>
      </c>
      <c r="I12">
        <f t="shared" si="1"/>
        <v>0.475714285714286</v>
      </c>
      <c r="J12">
        <f t="shared" si="2"/>
        <v>0</v>
      </c>
      <c r="K12">
        <f t="shared" si="3"/>
        <v>1</v>
      </c>
    </row>
    <row r="13" spans="1:11">
      <c r="A13">
        <v>720</v>
      </c>
      <c r="B13">
        <v>320</v>
      </c>
      <c r="C13">
        <v>340</v>
      </c>
      <c r="D13">
        <v>0</v>
      </c>
      <c r="E13">
        <v>720</v>
      </c>
      <c r="G13">
        <v>720</v>
      </c>
      <c r="H13">
        <f t="shared" si="0"/>
        <v>0.444444444444444</v>
      </c>
      <c r="I13">
        <f t="shared" si="1"/>
        <v>0.472222222222222</v>
      </c>
      <c r="J13">
        <f t="shared" si="2"/>
        <v>0</v>
      </c>
      <c r="K13">
        <f t="shared" si="3"/>
        <v>1</v>
      </c>
    </row>
    <row r="14" spans="1:11">
      <c r="A14">
        <v>740</v>
      </c>
      <c r="B14">
        <v>339</v>
      </c>
      <c r="C14">
        <v>355</v>
      </c>
      <c r="D14">
        <v>0</v>
      </c>
      <c r="E14">
        <v>740</v>
      </c>
      <c r="G14">
        <v>740</v>
      </c>
      <c r="H14">
        <f t="shared" si="0"/>
        <v>0.458108108108108</v>
      </c>
      <c r="I14">
        <f t="shared" si="1"/>
        <v>0.47972972972973</v>
      </c>
      <c r="J14">
        <f t="shared" si="2"/>
        <v>0</v>
      </c>
      <c r="K14">
        <f t="shared" si="3"/>
        <v>1</v>
      </c>
    </row>
    <row r="15" spans="1:11">
      <c r="A15">
        <v>760</v>
      </c>
      <c r="B15">
        <v>356</v>
      </c>
      <c r="C15">
        <v>368</v>
      </c>
      <c r="D15">
        <v>0</v>
      </c>
      <c r="E15">
        <v>760</v>
      </c>
      <c r="G15">
        <v>760</v>
      </c>
      <c r="H15">
        <f t="shared" si="0"/>
        <v>0.468421052631579</v>
      </c>
      <c r="I15">
        <f t="shared" si="1"/>
        <v>0.484210526315789</v>
      </c>
      <c r="J15">
        <f t="shared" si="2"/>
        <v>0</v>
      </c>
      <c r="K15">
        <f t="shared" si="3"/>
        <v>1</v>
      </c>
    </row>
    <row r="16" spans="1:11">
      <c r="A16">
        <v>780</v>
      </c>
      <c r="B16">
        <v>375</v>
      </c>
      <c r="C16">
        <v>376</v>
      </c>
      <c r="D16">
        <v>0</v>
      </c>
      <c r="E16">
        <v>780</v>
      </c>
      <c r="G16">
        <v>780</v>
      </c>
      <c r="H16">
        <f t="shared" si="0"/>
        <v>0.480769230769231</v>
      </c>
      <c r="I16">
        <f t="shared" si="1"/>
        <v>0.482051282051282</v>
      </c>
      <c r="J16">
        <f t="shared" si="2"/>
        <v>0</v>
      </c>
      <c r="K16">
        <f t="shared" si="3"/>
        <v>1</v>
      </c>
    </row>
    <row r="17" spans="1:11">
      <c r="A17">
        <v>800</v>
      </c>
      <c r="B17">
        <v>394</v>
      </c>
      <c r="C17">
        <v>382</v>
      </c>
      <c r="D17">
        <v>0</v>
      </c>
      <c r="E17">
        <v>800</v>
      </c>
      <c r="G17">
        <v>800</v>
      </c>
      <c r="H17">
        <f t="shared" si="0"/>
        <v>0.4925</v>
      </c>
      <c r="I17">
        <f t="shared" si="1"/>
        <v>0.4775</v>
      </c>
      <c r="J17">
        <f t="shared" si="2"/>
        <v>0</v>
      </c>
      <c r="K17">
        <f t="shared" si="3"/>
        <v>1</v>
      </c>
    </row>
    <row r="18" spans="1:11">
      <c r="A18">
        <v>820</v>
      </c>
      <c r="B18">
        <v>404</v>
      </c>
      <c r="C18">
        <v>392</v>
      </c>
      <c r="D18">
        <v>0</v>
      </c>
      <c r="E18">
        <v>820</v>
      </c>
      <c r="G18">
        <v>820</v>
      </c>
      <c r="H18">
        <f t="shared" si="0"/>
        <v>0.492682926829268</v>
      </c>
      <c r="I18">
        <f t="shared" si="1"/>
        <v>0.478048780487805</v>
      </c>
      <c r="J18">
        <f t="shared" si="2"/>
        <v>0</v>
      </c>
      <c r="K18">
        <f t="shared" si="3"/>
        <v>1</v>
      </c>
    </row>
    <row r="19" spans="1:11">
      <c r="A19">
        <v>840</v>
      </c>
      <c r="B19">
        <v>404</v>
      </c>
      <c r="C19">
        <v>401</v>
      </c>
      <c r="D19">
        <v>0</v>
      </c>
      <c r="E19">
        <v>840</v>
      </c>
      <c r="G19">
        <v>840</v>
      </c>
      <c r="H19">
        <f t="shared" si="0"/>
        <v>0.480952380952381</v>
      </c>
      <c r="I19">
        <f t="shared" si="1"/>
        <v>0.477380952380952</v>
      </c>
      <c r="J19">
        <f t="shared" si="2"/>
        <v>0</v>
      </c>
      <c r="K19">
        <f t="shared" si="3"/>
        <v>1</v>
      </c>
    </row>
    <row r="20" spans="1:11">
      <c r="A20">
        <v>860</v>
      </c>
      <c r="B20">
        <v>404</v>
      </c>
      <c r="C20">
        <v>410</v>
      </c>
      <c r="D20">
        <v>0</v>
      </c>
      <c r="E20">
        <v>860</v>
      </c>
      <c r="G20">
        <v>860</v>
      </c>
      <c r="H20">
        <f t="shared" si="0"/>
        <v>0.469767441860465</v>
      </c>
      <c r="I20">
        <f t="shared" si="1"/>
        <v>0.476744186046512</v>
      </c>
      <c r="J20">
        <f t="shared" si="2"/>
        <v>0</v>
      </c>
      <c r="K20">
        <f t="shared" si="3"/>
        <v>1</v>
      </c>
    </row>
    <row r="21" spans="1:11">
      <c r="A21">
        <v>880</v>
      </c>
      <c r="B21">
        <v>404</v>
      </c>
      <c r="C21">
        <v>418</v>
      </c>
      <c r="D21">
        <v>0</v>
      </c>
      <c r="E21">
        <v>880</v>
      </c>
      <c r="G21">
        <v>880</v>
      </c>
      <c r="H21">
        <f t="shared" si="0"/>
        <v>0.459090909090909</v>
      </c>
      <c r="I21">
        <f t="shared" si="1"/>
        <v>0.475</v>
      </c>
      <c r="J21">
        <f t="shared" si="2"/>
        <v>0</v>
      </c>
      <c r="K21">
        <f t="shared" si="3"/>
        <v>1</v>
      </c>
    </row>
    <row r="22" spans="1:11">
      <c r="A22">
        <v>900</v>
      </c>
      <c r="B22">
        <v>404</v>
      </c>
      <c r="C22">
        <v>429</v>
      </c>
      <c r="D22">
        <v>0</v>
      </c>
      <c r="E22">
        <v>900</v>
      </c>
      <c r="G22">
        <v>900</v>
      </c>
      <c r="H22">
        <f t="shared" si="0"/>
        <v>0.448888888888889</v>
      </c>
      <c r="I22">
        <f t="shared" si="1"/>
        <v>0.476666666666667</v>
      </c>
      <c r="J22">
        <f t="shared" si="2"/>
        <v>0</v>
      </c>
      <c r="K22">
        <f t="shared" si="3"/>
        <v>1</v>
      </c>
    </row>
    <row r="23" spans="1:11">
      <c r="A23">
        <v>920</v>
      </c>
      <c r="B23">
        <v>420</v>
      </c>
      <c r="C23">
        <v>442</v>
      </c>
      <c r="D23">
        <v>0</v>
      </c>
      <c r="E23">
        <v>920</v>
      </c>
      <c r="G23">
        <v>920</v>
      </c>
      <c r="H23">
        <f t="shared" si="0"/>
        <v>0.456521739130435</v>
      </c>
      <c r="I23">
        <f t="shared" si="1"/>
        <v>0.480434782608696</v>
      </c>
      <c r="J23">
        <f t="shared" si="2"/>
        <v>0</v>
      </c>
      <c r="K23">
        <f t="shared" si="3"/>
        <v>1</v>
      </c>
    </row>
    <row r="24" spans="1:11">
      <c r="A24">
        <v>940</v>
      </c>
      <c r="B24">
        <v>434</v>
      </c>
      <c r="C24">
        <v>452</v>
      </c>
      <c r="D24">
        <v>0</v>
      </c>
      <c r="E24">
        <v>940</v>
      </c>
      <c r="G24">
        <v>940</v>
      </c>
      <c r="H24">
        <f t="shared" si="0"/>
        <v>0.461702127659574</v>
      </c>
      <c r="I24">
        <f t="shared" si="1"/>
        <v>0.480851063829787</v>
      </c>
      <c r="J24">
        <f t="shared" si="2"/>
        <v>0</v>
      </c>
      <c r="K24">
        <f t="shared" si="3"/>
        <v>1</v>
      </c>
    </row>
    <row r="25" spans="1:11">
      <c r="A25">
        <v>960</v>
      </c>
      <c r="B25">
        <v>454</v>
      </c>
      <c r="C25">
        <v>463</v>
      </c>
      <c r="D25">
        <v>0</v>
      </c>
      <c r="E25">
        <v>960</v>
      </c>
      <c r="G25">
        <v>960</v>
      </c>
      <c r="H25">
        <f t="shared" si="0"/>
        <v>0.472916666666667</v>
      </c>
      <c r="I25">
        <f t="shared" si="1"/>
        <v>0.482291666666667</v>
      </c>
      <c r="J25">
        <f t="shared" si="2"/>
        <v>0</v>
      </c>
      <c r="K25">
        <f t="shared" si="3"/>
        <v>1</v>
      </c>
    </row>
    <row r="26" spans="1:11">
      <c r="A26">
        <v>980</v>
      </c>
      <c r="B26">
        <v>473</v>
      </c>
      <c r="C26">
        <v>472</v>
      </c>
      <c r="D26">
        <v>0</v>
      </c>
      <c r="E26">
        <v>980</v>
      </c>
      <c r="G26">
        <v>980</v>
      </c>
      <c r="H26">
        <f t="shared" si="0"/>
        <v>0.48265306122449</v>
      </c>
      <c r="I26">
        <f t="shared" si="1"/>
        <v>0.481632653061224</v>
      </c>
      <c r="J26">
        <f t="shared" si="2"/>
        <v>0</v>
      </c>
      <c r="K26">
        <f t="shared" si="3"/>
        <v>1</v>
      </c>
    </row>
    <row r="27" spans="1:11">
      <c r="A27">
        <v>1000</v>
      </c>
      <c r="B27">
        <v>493</v>
      </c>
      <c r="C27">
        <v>487</v>
      </c>
      <c r="D27">
        <v>0</v>
      </c>
      <c r="E27">
        <v>1000</v>
      </c>
      <c r="G27">
        <v>1000</v>
      </c>
      <c r="H27">
        <f t="shared" si="0"/>
        <v>0.493</v>
      </c>
      <c r="I27">
        <f t="shared" si="1"/>
        <v>0.487</v>
      </c>
      <c r="J27">
        <f t="shared" si="2"/>
        <v>0</v>
      </c>
      <c r="K27">
        <f t="shared" si="3"/>
        <v>1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A16" workbookViewId="0">
      <selection activeCell="J30" sqref="J30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223</v>
      </c>
      <c r="C2">
        <v>269</v>
      </c>
      <c r="D2">
        <v>0</v>
      </c>
      <c r="E2">
        <v>500</v>
      </c>
      <c r="G2">
        <v>500</v>
      </c>
      <c r="H2">
        <f>B2/A2</f>
        <v>0.446</v>
      </c>
      <c r="I2">
        <f>C2/A2</f>
        <v>0.538</v>
      </c>
      <c r="J2">
        <f>D2/A2</f>
        <v>0</v>
      </c>
      <c r="K2">
        <f>E2/A2</f>
        <v>1</v>
      </c>
    </row>
    <row r="3" spans="1:11">
      <c r="A3">
        <v>520</v>
      </c>
      <c r="B3">
        <v>237</v>
      </c>
      <c r="C3">
        <v>279</v>
      </c>
      <c r="D3">
        <v>0</v>
      </c>
      <c r="E3">
        <v>520</v>
      </c>
      <c r="G3">
        <v>520</v>
      </c>
      <c r="H3">
        <f t="shared" ref="H3:H27" si="0">B3/A3</f>
        <v>0.455769230769231</v>
      </c>
      <c r="I3">
        <f t="shared" ref="I3:I27" si="1">C3/A3</f>
        <v>0.536538461538462</v>
      </c>
      <c r="J3">
        <f t="shared" ref="J3:J27" si="2">D3/A3</f>
        <v>0</v>
      </c>
      <c r="K3">
        <f t="shared" ref="K3:K27" si="3">E3/A3</f>
        <v>1</v>
      </c>
    </row>
    <row r="4" spans="1:11">
      <c r="A4">
        <v>540</v>
      </c>
      <c r="B4">
        <v>253</v>
      </c>
      <c r="C4">
        <v>287</v>
      </c>
      <c r="D4">
        <v>0</v>
      </c>
      <c r="E4">
        <v>540</v>
      </c>
      <c r="G4">
        <v>540</v>
      </c>
      <c r="H4">
        <f t="shared" si="0"/>
        <v>0.468518518518519</v>
      </c>
      <c r="I4">
        <f t="shared" si="1"/>
        <v>0.531481481481481</v>
      </c>
      <c r="J4">
        <f t="shared" si="2"/>
        <v>0</v>
      </c>
      <c r="K4">
        <f t="shared" si="3"/>
        <v>1</v>
      </c>
    </row>
    <row r="5" spans="1:11">
      <c r="A5">
        <v>560</v>
      </c>
      <c r="B5">
        <v>272</v>
      </c>
      <c r="C5">
        <v>296</v>
      </c>
      <c r="D5">
        <v>0</v>
      </c>
      <c r="E5">
        <v>560</v>
      </c>
      <c r="G5">
        <v>560</v>
      </c>
      <c r="H5">
        <f t="shared" si="0"/>
        <v>0.485714285714286</v>
      </c>
      <c r="I5">
        <f t="shared" si="1"/>
        <v>0.528571428571429</v>
      </c>
      <c r="J5">
        <f t="shared" si="2"/>
        <v>0</v>
      </c>
      <c r="K5">
        <f t="shared" si="3"/>
        <v>1</v>
      </c>
    </row>
    <row r="6" spans="1:11">
      <c r="A6">
        <v>580</v>
      </c>
      <c r="B6">
        <v>289</v>
      </c>
      <c r="C6">
        <v>311</v>
      </c>
      <c r="D6">
        <v>0</v>
      </c>
      <c r="E6">
        <v>580</v>
      </c>
      <c r="G6">
        <v>580</v>
      </c>
      <c r="H6">
        <f t="shared" si="0"/>
        <v>0.498275862068966</v>
      </c>
      <c r="I6">
        <f t="shared" si="1"/>
        <v>0.536206896551724</v>
      </c>
      <c r="J6">
        <f t="shared" si="2"/>
        <v>0</v>
      </c>
      <c r="K6">
        <f t="shared" si="3"/>
        <v>1</v>
      </c>
    </row>
    <row r="7" spans="1:11">
      <c r="A7">
        <v>600</v>
      </c>
      <c r="B7">
        <v>305</v>
      </c>
      <c r="C7">
        <v>320</v>
      </c>
      <c r="D7">
        <v>0</v>
      </c>
      <c r="E7">
        <v>600</v>
      </c>
      <c r="G7">
        <v>600</v>
      </c>
      <c r="H7">
        <f t="shared" si="0"/>
        <v>0.508333333333333</v>
      </c>
      <c r="I7">
        <f t="shared" si="1"/>
        <v>0.533333333333333</v>
      </c>
      <c r="J7">
        <f t="shared" si="2"/>
        <v>0</v>
      </c>
      <c r="K7">
        <f t="shared" si="3"/>
        <v>1</v>
      </c>
    </row>
    <row r="8" spans="1:11">
      <c r="A8">
        <v>620</v>
      </c>
      <c r="B8">
        <v>312</v>
      </c>
      <c r="C8">
        <v>332</v>
      </c>
      <c r="D8">
        <v>0</v>
      </c>
      <c r="E8">
        <v>620</v>
      </c>
      <c r="G8">
        <v>620</v>
      </c>
      <c r="H8">
        <f t="shared" si="0"/>
        <v>0.503225806451613</v>
      </c>
      <c r="I8">
        <f t="shared" si="1"/>
        <v>0.535483870967742</v>
      </c>
      <c r="J8">
        <f t="shared" si="2"/>
        <v>0</v>
      </c>
      <c r="K8">
        <f t="shared" si="3"/>
        <v>1</v>
      </c>
    </row>
    <row r="9" spans="1:11">
      <c r="A9">
        <v>640</v>
      </c>
      <c r="B9">
        <v>317</v>
      </c>
      <c r="C9">
        <v>342</v>
      </c>
      <c r="D9">
        <v>0</v>
      </c>
      <c r="E9">
        <v>640</v>
      </c>
      <c r="G9">
        <v>640</v>
      </c>
      <c r="H9">
        <f t="shared" si="0"/>
        <v>0.4953125</v>
      </c>
      <c r="I9">
        <f t="shared" si="1"/>
        <v>0.534375</v>
      </c>
      <c r="J9">
        <f t="shared" si="2"/>
        <v>0</v>
      </c>
      <c r="K9">
        <f t="shared" si="3"/>
        <v>1</v>
      </c>
    </row>
    <row r="10" spans="1:11">
      <c r="A10">
        <v>660</v>
      </c>
      <c r="B10">
        <v>324</v>
      </c>
      <c r="C10">
        <v>355</v>
      </c>
      <c r="D10">
        <v>0</v>
      </c>
      <c r="E10">
        <v>660</v>
      </c>
      <c r="G10">
        <v>660</v>
      </c>
      <c r="H10">
        <f t="shared" si="0"/>
        <v>0.490909090909091</v>
      </c>
      <c r="I10">
        <f t="shared" si="1"/>
        <v>0.537878787878788</v>
      </c>
      <c r="J10">
        <f t="shared" si="2"/>
        <v>0</v>
      </c>
      <c r="K10">
        <f t="shared" si="3"/>
        <v>1</v>
      </c>
    </row>
    <row r="11" spans="1:11">
      <c r="A11">
        <v>680</v>
      </c>
      <c r="B11">
        <v>330</v>
      </c>
      <c r="C11">
        <v>366</v>
      </c>
      <c r="D11">
        <v>0</v>
      </c>
      <c r="E11">
        <v>680</v>
      </c>
      <c r="G11">
        <v>680</v>
      </c>
      <c r="H11">
        <f t="shared" si="0"/>
        <v>0.485294117647059</v>
      </c>
      <c r="I11">
        <f t="shared" si="1"/>
        <v>0.538235294117647</v>
      </c>
      <c r="J11">
        <f t="shared" si="2"/>
        <v>0</v>
      </c>
      <c r="K11">
        <f t="shared" si="3"/>
        <v>1</v>
      </c>
    </row>
    <row r="12" spans="1:11">
      <c r="A12">
        <v>700</v>
      </c>
      <c r="B12">
        <v>332</v>
      </c>
      <c r="C12">
        <v>378</v>
      </c>
      <c r="D12">
        <v>0</v>
      </c>
      <c r="E12">
        <v>700</v>
      </c>
      <c r="G12">
        <v>700</v>
      </c>
      <c r="H12">
        <f t="shared" si="0"/>
        <v>0.474285714285714</v>
      </c>
      <c r="I12">
        <f t="shared" si="1"/>
        <v>0.54</v>
      </c>
      <c r="J12">
        <f t="shared" si="2"/>
        <v>0</v>
      </c>
      <c r="K12">
        <f t="shared" si="3"/>
        <v>1</v>
      </c>
    </row>
    <row r="13" spans="1:11">
      <c r="A13">
        <v>720</v>
      </c>
      <c r="B13">
        <v>345</v>
      </c>
      <c r="C13">
        <v>384</v>
      </c>
      <c r="D13">
        <v>0</v>
      </c>
      <c r="E13">
        <v>720</v>
      </c>
      <c r="G13">
        <v>720</v>
      </c>
      <c r="H13">
        <f t="shared" si="0"/>
        <v>0.479166666666667</v>
      </c>
      <c r="I13">
        <f t="shared" si="1"/>
        <v>0.533333333333333</v>
      </c>
      <c r="J13">
        <f t="shared" si="2"/>
        <v>0</v>
      </c>
      <c r="K13">
        <f t="shared" si="3"/>
        <v>1</v>
      </c>
    </row>
    <row r="14" spans="1:11">
      <c r="A14">
        <v>740</v>
      </c>
      <c r="B14">
        <v>361</v>
      </c>
      <c r="C14">
        <v>396</v>
      </c>
      <c r="D14">
        <v>0</v>
      </c>
      <c r="E14">
        <v>740</v>
      </c>
      <c r="G14">
        <v>740</v>
      </c>
      <c r="H14">
        <f t="shared" si="0"/>
        <v>0.487837837837838</v>
      </c>
      <c r="I14">
        <f t="shared" si="1"/>
        <v>0.535135135135135</v>
      </c>
      <c r="J14">
        <f t="shared" si="2"/>
        <v>0</v>
      </c>
      <c r="K14">
        <f t="shared" si="3"/>
        <v>1</v>
      </c>
    </row>
    <row r="15" spans="1:11">
      <c r="A15">
        <v>760</v>
      </c>
      <c r="B15">
        <v>379</v>
      </c>
      <c r="C15">
        <v>408</v>
      </c>
      <c r="D15">
        <v>0</v>
      </c>
      <c r="E15">
        <v>760</v>
      </c>
      <c r="G15">
        <v>760</v>
      </c>
      <c r="H15">
        <f t="shared" si="0"/>
        <v>0.498684210526316</v>
      </c>
      <c r="I15">
        <f t="shared" si="1"/>
        <v>0.536842105263158</v>
      </c>
      <c r="J15">
        <f t="shared" si="2"/>
        <v>0</v>
      </c>
      <c r="K15">
        <f t="shared" si="3"/>
        <v>1</v>
      </c>
    </row>
    <row r="16" spans="1:11">
      <c r="A16">
        <v>780</v>
      </c>
      <c r="B16">
        <v>393</v>
      </c>
      <c r="C16">
        <v>418</v>
      </c>
      <c r="D16">
        <v>0</v>
      </c>
      <c r="E16">
        <v>780</v>
      </c>
      <c r="G16">
        <v>780</v>
      </c>
      <c r="H16">
        <f t="shared" si="0"/>
        <v>0.503846153846154</v>
      </c>
      <c r="I16">
        <f t="shared" si="1"/>
        <v>0.535897435897436</v>
      </c>
      <c r="J16">
        <f t="shared" si="2"/>
        <v>0</v>
      </c>
      <c r="K16">
        <f t="shared" si="3"/>
        <v>1</v>
      </c>
    </row>
    <row r="17" spans="1:11">
      <c r="A17">
        <v>800</v>
      </c>
      <c r="B17">
        <v>409</v>
      </c>
      <c r="C17">
        <v>427</v>
      </c>
      <c r="D17">
        <v>0</v>
      </c>
      <c r="E17">
        <v>800</v>
      </c>
      <c r="G17">
        <v>800</v>
      </c>
      <c r="H17">
        <f t="shared" si="0"/>
        <v>0.51125</v>
      </c>
      <c r="I17">
        <f t="shared" si="1"/>
        <v>0.53375</v>
      </c>
      <c r="J17">
        <f t="shared" si="2"/>
        <v>0</v>
      </c>
      <c r="K17">
        <f t="shared" si="3"/>
        <v>1</v>
      </c>
    </row>
    <row r="18" spans="1:11">
      <c r="A18">
        <v>820</v>
      </c>
      <c r="B18">
        <v>417</v>
      </c>
      <c r="C18">
        <v>439</v>
      </c>
      <c r="D18">
        <v>0</v>
      </c>
      <c r="E18">
        <v>820</v>
      </c>
      <c r="G18">
        <v>820</v>
      </c>
      <c r="H18">
        <f t="shared" si="0"/>
        <v>0.508536585365854</v>
      </c>
      <c r="I18">
        <f t="shared" si="1"/>
        <v>0.535365853658537</v>
      </c>
      <c r="J18">
        <f t="shared" si="2"/>
        <v>0</v>
      </c>
      <c r="K18">
        <f t="shared" si="3"/>
        <v>1</v>
      </c>
    </row>
    <row r="19" spans="1:11">
      <c r="A19">
        <v>840</v>
      </c>
      <c r="B19">
        <v>423</v>
      </c>
      <c r="C19">
        <v>451</v>
      </c>
      <c r="D19">
        <v>0</v>
      </c>
      <c r="E19">
        <v>840</v>
      </c>
      <c r="G19">
        <v>840</v>
      </c>
      <c r="H19">
        <f t="shared" si="0"/>
        <v>0.503571428571429</v>
      </c>
      <c r="I19">
        <f t="shared" si="1"/>
        <v>0.536904761904762</v>
      </c>
      <c r="J19">
        <f t="shared" si="2"/>
        <v>0</v>
      </c>
      <c r="K19">
        <f t="shared" si="3"/>
        <v>1</v>
      </c>
    </row>
    <row r="20" spans="1:11">
      <c r="A20">
        <v>860</v>
      </c>
      <c r="B20">
        <v>430</v>
      </c>
      <c r="C20">
        <v>459</v>
      </c>
      <c r="D20">
        <v>0</v>
      </c>
      <c r="E20">
        <v>860</v>
      </c>
      <c r="G20">
        <v>860</v>
      </c>
      <c r="H20">
        <f t="shared" si="0"/>
        <v>0.5</v>
      </c>
      <c r="I20">
        <f t="shared" si="1"/>
        <v>0.533720930232558</v>
      </c>
      <c r="J20">
        <f t="shared" si="2"/>
        <v>0</v>
      </c>
      <c r="K20">
        <f t="shared" si="3"/>
        <v>1</v>
      </c>
    </row>
    <row r="21" spans="1:11">
      <c r="A21">
        <v>880</v>
      </c>
      <c r="B21">
        <v>438</v>
      </c>
      <c r="C21">
        <v>469</v>
      </c>
      <c r="D21">
        <v>0</v>
      </c>
      <c r="E21">
        <v>880</v>
      </c>
      <c r="G21">
        <v>880</v>
      </c>
      <c r="H21">
        <f t="shared" si="0"/>
        <v>0.497727272727273</v>
      </c>
      <c r="I21">
        <f t="shared" si="1"/>
        <v>0.532954545454545</v>
      </c>
      <c r="J21">
        <f t="shared" si="2"/>
        <v>0</v>
      </c>
      <c r="K21">
        <f t="shared" si="3"/>
        <v>1</v>
      </c>
    </row>
    <row r="22" spans="1:11">
      <c r="A22">
        <v>900</v>
      </c>
      <c r="B22">
        <v>442</v>
      </c>
      <c r="C22">
        <v>481</v>
      </c>
      <c r="D22">
        <v>0</v>
      </c>
      <c r="E22">
        <v>900</v>
      </c>
      <c r="G22">
        <v>900</v>
      </c>
      <c r="H22">
        <f t="shared" si="0"/>
        <v>0.491111111111111</v>
      </c>
      <c r="I22">
        <f t="shared" si="1"/>
        <v>0.534444444444444</v>
      </c>
      <c r="J22">
        <f t="shared" si="2"/>
        <v>0</v>
      </c>
      <c r="K22">
        <f t="shared" si="3"/>
        <v>1</v>
      </c>
    </row>
    <row r="23" spans="1:11">
      <c r="A23">
        <v>920</v>
      </c>
      <c r="B23">
        <v>454</v>
      </c>
      <c r="C23">
        <v>488</v>
      </c>
      <c r="D23">
        <v>0</v>
      </c>
      <c r="E23">
        <v>920</v>
      </c>
      <c r="G23">
        <v>920</v>
      </c>
      <c r="H23">
        <f t="shared" si="0"/>
        <v>0.493478260869565</v>
      </c>
      <c r="I23">
        <f t="shared" si="1"/>
        <v>0.530434782608696</v>
      </c>
      <c r="J23">
        <f t="shared" si="2"/>
        <v>0</v>
      </c>
      <c r="K23">
        <f t="shared" si="3"/>
        <v>1</v>
      </c>
    </row>
    <row r="24" spans="1:11">
      <c r="A24">
        <v>940</v>
      </c>
      <c r="B24">
        <v>469</v>
      </c>
      <c r="C24">
        <v>497</v>
      </c>
      <c r="D24">
        <v>0</v>
      </c>
      <c r="E24">
        <v>940</v>
      </c>
      <c r="G24">
        <v>940</v>
      </c>
      <c r="H24">
        <f t="shared" si="0"/>
        <v>0.498936170212766</v>
      </c>
      <c r="I24">
        <f t="shared" si="1"/>
        <v>0.528723404255319</v>
      </c>
      <c r="J24">
        <f t="shared" si="2"/>
        <v>0</v>
      </c>
      <c r="K24">
        <f t="shared" si="3"/>
        <v>1</v>
      </c>
    </row>
    <row r="25" spans="1:11">
      <c r="A25">
        <v>960</v>
      </c>
      <c r="B25">
        <v>488</v>
      </c>
      <c r="C25">
        <v>510</v>
      </c>
      <c r="D25">
        <v>0</v>
      </c>
      <c r="E25">
        <v>960</v>
      </c>
      <c r="G25">
        <v>960</v>
      </c>
      <c r="H25">
        <f t="shared" si="0"/>
        <v>0.508333333333333</v>
      </c>
      <c r="I25">
        <f t="shared" si="1"/>
        <v>0.53125</v>
      </c>
      <c r="J25">
        <f t="shared" si="2"/>
        <v>0</v>
      </c>
      <c r="K25">
        <f t="shared" si="3"/>
        <v>1</v>
      </c>
    </row>
    <row r="26" spans="1:11">
      <c r="A26">
        <v>980</v>
      </c>
      <c r="B26">
        <v>501</v>
      </c>
      <c r="C26">
        <v>525</v>
      </c>
      <c r="D26">
        <v>0</v>
      </c>
      <c r="E26">
        <v>980</v>
      </c>
      <c r="G26">
        <v>980</v>
      </c>
      <c r="H26">
        <f t="shared" si="0"/>
        <v>0.511224489795918</v>
      </c>
      <c r="I26">
        <f t="shared" si="1"/>
        <v>0.535714285714286</v>
      </c>
      <c r="J26">
        <f t="shared" si="2"/>
        <v>0</v>
      </c>
      <c r="K26">
        <f t="shared" si="3"/>
        <v>1</v>
      </c>
    </row>
    <row r="27" spans="1:11">
      <c r="A27">
        <v>1000</v>
      </c>
      <c r="B27">
        <v>514</v>
      </c>
      <c r="C27">
        <v>536</v>
      </c>
      <c r="D27">
        <v>0</v>
      </c>
      <c r="E27">
        <v>1000</v>
      </c>
      <c r="G27">
        <v>1000</v>
      </c>
      <c r="H27">
        <f t="shared" si="0"/>
        <v>0.514</v>
      </c>
      <c r="I27">
        <f t="shared" si="1"/>
        <v>0.536</v>
      </c>
      <c r="J27">
        <f t="shared" si="2"/>
        <v>0</v>
      </c>
      <c r="K27">
        <f t="shared" si="3"/>
        <v>1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A19" workbookViewId="0">
      <selection activeCell="I31" sqref="I31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221</v>
      </c>
      <c r="C2">
        <v>271</v>
      </c>
      <c r="D2">
        <v>0</v>
      </c>
      <c r="E2">
        <v>500</v>
      </c>
      <c r="G2">
        <v>500</v>
      </c>
      <c r="H2">
        <f>B2/A2</f>
        <v>0.442</v>
      </c>
      <c r="I2">
        <f>C2/A2</f>
        <v>0.542</v>
      </c>
      <c r="J2">
        <f>D2/A2</f>
        <v>0</v>
      </c>
      <c r="K2">
        <f>E2/A2</f>
        <v>1</v>
      </c>
    </row>
    <row r="3" spans="1:11">
      <c r="A3">
        <v>520</v>
      </c>
      <c r="B3">
        <v>236</v>
      </c>
      <c r="C3">
        <v>283</v>
      </c>
      <c r="D3">
        <v>0</v>
      </c>
      <c r="E3">
        <v>520</v>
      </c>
      <c r="G3">
        <v>520</v>
      </c>
      <c r="H3">
        <f t="shared" ref="H3:H27" si="0">B3/A3</f>
        <v>0.453846153846154</v>
      </c>
      <c r="I3">
        <f t="shared" ref="I3:I27" si="1">C3/A3</f>
        <v>0.544230769230769</v>
      </c>
      <c r="J3">
        <f t="shared" ref="J3:J27" si="2">D3/A3</f>
        <v>0</v>
      </c>
      <c r="K3">
        <f t="shared" ref="K3:K27" si="3">E3/A3</f>
        <v>1</v>
      </c>
    </row>
    <row r="4" spans="1:11">
      <c r="A4">
        <v>540</v>
      </c>
      <c r="B4">
        <v>254</v>
      </c>
      <c r="C4">
        <v>292</v>
      </c>
      <c r="D4">
        <v>0</v>
      </c>
      <c r="E4">
        <v>540</v>
      </c>
      <c r="G4">
        <v>540</v>
      </c>
      <c r="H4">
        <f t="shared" si="0"/>
        <v>0.47037037037037</v>
      </c>
      <c r="I4">
        <f t="shared" si="1"/>
        <v>0.540740740740741</v>
      </c>
      <c r="J4">
        <f t="shared" si="2"/>
        <v>0</v>
      </c>
      <c r="K4">
        <f t="shared" si="3"/>
        <v>1</v>
      </c>
    </row>
    <row r="5" spans="1:11">
      <c r="A5">
        <v>560</v>
      </c>
      <c r="B5">
        <v>273</v>
      </c>
      <c r="C5">
        <v>303</v>
      </c>
      <c r="D5">
        <v>0</v>
      </c>
      <c r="E5">
        <v>560</v>
      </c>
      <c r="G5">
        <v>560</v>
      </c>
      <c r="H5">
        <f t="shared" si="0"/>
        <v>0.4875</v>
      </c>
      <c r="I5">
        <f t="shared" si="1"/>
        <v>0.541071428571429</v>
      </c>
      <c r="J5">
        <f t="shared" si="2"/>
        <v>0</v>
      </c>
      <c r="K5">
        <f t="shared" si="3"/>
        <v>1</v>
      </c>
    </row>
    <row r="6" spans="1:11">
      <c r="A6">
        <v>580</v>
      </c>
      <c r="B6">
        <v>285</v>
      </c>
      <c r="C6">
        <v>313</v>
      </c>
      <c r="D6">
        <v>0</v>
      </c>
      <c r="E6">
        <v>580</v>
      </c>
      <c r="G6">
        <v>580</v>
      </c>
      <c r="H6">
        <f t="shared" si="0"/>
        <v>0.491379310344828</v>
      </c>
      <c r="I6">
        <f t="shared" si="1"/>
        <v>0.539655172413793</v>
      </c>
      <c r="J6">
        <f t="shared" si="2"/>
        <v>0</v>
      </c>
      <c r="K6">
        <f t="shared" si="3"/>
        <v>1</v>
      </c>
    </row>
    <row r="7" spans="1:11">
      <c r="A7">
        <v>600</v>
      </c>
      <c r="B7">
        <v>299</v>
      </c>
      <c r="C7">
        <v>327</v>
      </c>
      <c r="D7">
        <v>0</v>
      </c>
      <c r="E7">
        <v>600</v>
      </c>
      <c r="G7">
        <v>600</v>
      </c>
      <c r="H7">
        <f t="shared" si="0"/>
        <v>0.498333333333333</v>
      </c>
      <c r="I7">
        <f t="shared" si="1"/>
        <v>0.545</v>
      </c>
      <c r="J7">
        <f t="shared" si="2"/>
        <v>0</v>
      </c>
      <c r="K7">
        <f t="shared" si="3"/>
        <v>1</v>
      </c>
    </row>
    <row r="8" spans="1:11">
      <c r="A8">
        <v>620</v>
      </c>
      <c r="B8">
        <v>308</v>
      </c>
      <c r="C8">
        <v>340</v>
      </c>
      <c r="D8">
        <v>0</v>
      </c>
      <c r="E8">
        <v>620</v>
      </c>
      <c r="G8">
        <v>620</v>
      </c>
      <c r="H8">
        <f t="shared" si="0"/>
        <v>0.496774193548387</v>
      </c>
      <c r="I8">
        <f t="shared" si="1"/>
        <v>0.548387096774194</v>
      </c>
      <c r="J8">
        <f t="shared" si="2"/>
        <v>0</v>
      </c>
      <c r="K8">
        <f t="shared" si="3"/>
        <v>1</v>
      </c>
    </row>
    <row r="9" spans="1:11">
      <c r="A9">
        <v>640</v>
      </c>
      <c r="B9">
        <v>319</v>
      </c>
      <c r="C9">
        <v>349</v>
      </c>
      <c r="D9">
        <v>0</v>
      </c>
      <c r="E9">
        <v>640</v>
      </c>
      <c r="G9">
        <v>640</v>
      </c>
      <c r="H9">
        <f t="shared" si="0"/>
        <v>0.4984375</v>
      </c>
      <c r="I9">
        <f t="shared" si="1"/>
        <v>0.5453125</v>
      </c>
      <c r="J9">
        <f t="shared" si="2"/>
        <v>0</v>
      </c>
      <c r="K9">
        <f t="shared" si="3"/>
        <v>1</v>
      </c>
    </row>
    <row r="10" spans="1:11">
      <c r="A10">
        <v>660</v>
      </c>
      <c r="B10">
        <v>327</v>
      </c>
      <c r="C10">
        <v>364</v>
      </c>
      <c r="D10">
        <v>0</v>
      </c>
      <c r="E10">
        <v>660</v>
      </c>
      <c r="G10">
        <v>660</v>
      </c>
      <c r="H10">
        <f t="shared" si="0"/>
        <v>0.495454545454545</v>
      </c>
      <c r="I10">
        <f t="shared" si="1"/>
        <v>0.551515151515152</v>
      </c>
      <c r="J10">
        <f t="shared" si="2"/>
        <v>0</v>
      </c>
      <c r="K10">
        <f t="shared" si="3"/>
        <v>1</v>
      </c>
    </row>
    <row r="11" spans="1:11">
      <c r="A11">
        <v>680</v>
      </c>
      <c r="B11">
        <v>330</v>
      </c>
      <c r="C11">
        <v>375</v>
      </c>
      <c r="D11">
        <v>0</v>
      </c>
      <c r="E11">
        <v>680</v>
      </c>
      <c r="G11">
        <v>680</v>
      </c>
      <c r="H11">
        <f t="shared" si="0"/>
        <v>0.485294117647059</v>
      </c>
      <c r="I11">
        <f t="shared" si="1"/>
        <v>0.551470588235294</v>
      </c>
      <c r="J11">
        <f t="shared" si="2"/>
        <v>0</v>
      </c>
      <c r="K11">
        <f t="shared" si="3"/>
        <v>1</v>
      </c>
    </row>
    <row r="12" spans="1:11">
      <c r="A12">
        <v>700</v>
      </c>
      <c r="B12">
        <v>331</v>
      </c>
      <c r="C12">
        <v>381</v>
      </c>
      <c r="D12">
        <v>0</v>
      </c>
      <c r="E12">
        <v>700</v>
      </c>
      <c r="G12">
        <v>700</v>
      </c>
      <c r="H12">
        <f t="shared" si="0"/>
        <v>0.472857142857143</v>
      </c>
      <c r="I12">
        <f t="shared" si="1"/>
        <v>0.544285714285714</v>
      </c>
      <c r="J12">
        <f t="shared" si="2"/>
        <v>0</v>
      </c>
      <c r="K12">
        <f t="shared" si="3"/>
        <v>1</v>
      </c>
    </row>
    <row r="13" spans="1:11">
      <c r="A13">
        <v>720</v>
      </c>
      <c r="B13">
        <v>346</v>
      </c>
      <c r="C13">
        <v>393</v>
      </c>
      <c r="D13">
        <v>0</v>
      </c>
      <c r="E13">
        <v>720</v>
      </c>
      <c r="G13">
        <v>720</v>
      </c>
      <c r="H13">
        <f t="shared" si="0"/>
        <v>0.480555555555556</v>
      </c>
      <c r="I13">
        <f t="shared" si="1"/>
        <v>0.545833333333333</v>
      </c>
      <c r="J13">
        <f t="shared" si="2"/>
        <v>0</v>
      </c>
      <c r="K13">
        <f t="shared" si="3"/>
        <v>1</v>
      </c>
    </row>
    <row r="14" spans="1:11">
      <c r="A14">
        <v>740</v>
      </c>
      <c r="B14">
        <v>364</v>
      </c>
      <c r="C14">
        <v>404</v>
      </c>
      <c r="D14">
        <v>0</v>
      </c>
      <c r="E14">
        <v>740</v>
      </c>
      <c r="G14">
        <v>740</v>
      </c>
      <c r="H14">
        <f t="shared" si="0"/>
        <v>0.491891891891892</v>
      </c>
      <c r="I14">
        <f t="shared" si="1"/>
        <v>0.545945945945946</v>
      </c>
      <c r="J14">
        <f t="shared" si="2"/>
        <v>0</v>
      </c>
      <c r="K14">
        <f t="shared" si="3"/>
        <v>1</v>
      </c>
    </row>
    <row r="15" spans="1:11">
      <c r="A15">
        <v>760</v>
      </c>
      <c r="B15">
        <v>382</v>
      </c>
      <c r="C15">
        <v>416</v>
      </c>
      <c r="D15">
        <v>0</v>
      </c>
      <c r="E15">
        <v>760</v>
      </c>
      <c r="G15">
        <v>760</v>
      </c>
      <c r="H15">
        <f t="shared" si="0"/>
        <v>0.502631578947368</v>
      </c>
      <c r="I15">
        <f t="shared" si="1"/>
        <v>0.547368421052632</v>
      </c>
      <c r="J15">
        <f t="shared" si="2"/>
        <v>0</v>
      </c>
      <c r="K15">
        <f t="shared" si="3"/>
        <v>1</v>
      </c>
    </row>
    <row r="16" spans="1:11">
      <c r="A16">
        <v>780</v>
      </c>
      <c r="B16">
        <v>396</v>
      </c>
      <c r="C16">
        <v>429</v>
      </c>
      <c r="D16">
        <v>0</v>
      </c>
      <c r="E16">
        <v>780</v>
      </c>
      <c r="G16">
        <v>780</v>
      </c>
      <c r="H16">
        <f t="shared" si="0"/>
        <v>0.507692307692308</v>
      </c>
      <c r="I16">
        <f t="shared" si="1"/>
        <v>0.55</v>
      </c>
      <c r="J16">
        <f t="shared" si="2"/>
        <v>0</v>
      </c>
      <c r="K16">
        <f t="shared" si="3"/>
        <v>1</v>
      </c>
    </row>
    <row r="17" spans="1:11">
      <c r="A17">
        <v>800</v>
      </c>
      <c r="B17">
        <v>406</v>
      </c>
      <c r="C17">
        <v>439</v>
      </c>
      <c r="D17">
        <v>0</v>
      </c>
      <c r="E17">
        <v>800</v>
      </c>
      <c r="G17">
        <v>800</v>
      </c>
      <c r="H17">
        <f t="shared" si="0"/>
        <v>0.5075</v>
      </c>
      <c r="I17">
        <f t="shared" si="1"/>
        <v>0.54875</v>
      </c>
      <c r="J17">
        <f t="shared" si="2"/>
        <v>0</v>
      </c>
      <c r="K17">
        <f t="shared" si="3"/>
        <v>1</v>
      </c>
    </row>
    <row r="18" spans="1:11">
      <c r="A18">
        <v>820</v>
      </c>
      <c r="B18">
        <v>411</v>
      </c>
      <c r="C18">
        <v>447</v>
      </c>
      <c r="D18">
        <v>0</v>
      </c>
      <c r="E18">
        <v>820</v>
      </c>
      <c r="G18">
        <v>820</v>
      </c>
      <c r="H18">
        <f t="shared" si="0"/>
        <v>0.501219512195122</v>
      </c>
      <c r="I18">
        <f t="shared" si="1"/>
        <v>0.545121951219512</v>
      </c>
      <c r="J18">
        <f t="shared" si="2"/>
        <v>0</v>
      </c>
      <c r="K18">
        <f t="shared" si="3"/>
        <v>1</v>
      </c>
    </row>
    <row r="19" spans="1:11">
      <c r="A19">
        <v>840</v>
      </c>
      <c r="B19">
        <v>421</v>
      </c>
      <c r="C19">
        <v>457</v>
      </c>
      <c r="D19">
        <v>0</v>
      </c>
      <c r="E19">
        <v>840</v>
      </c>
      <c r="G19">
        <v>840</v>
      </c>
      <c r="H19">
        <f t="shared" si="0"/>
        <v>0.501190476190476</v>
      </c>
      <c r="I19">
        <f t="shared" si="1"/>
        <v>0.544047619047619</v>
      </c>
      <c r="J19">
        <f t="shared" si="2"/>
        <v>0</v>
      </c>
      <c r="K19">
        <f t="shared" si="3"/>
        <v>1</v>
      </c>
    </row>
    <row r="20" spans="1:11">
      <c r="A20">
        <v>860</v>
      </c>
      <c r="B20">
        <v>431</v>
      </c>
      <c r="C20">
        <v>470</v>
      </c>
      <c r="D20">
        <v>0</v>
      </c>
      <c r="E20">
        <v>860</v>
      </c>
      <c r="G20">
        <v>860</v>
      </c>
      <c r="H20">
        <f t="shared" si="0"/>
        <v>0.501162790697674</v>
      </c>
      <c r="I20">
        <f t="shared" si="1"/>
        <v>0.546511627906977</v>
      </c>
      <c r="J20">
        <f t="shared" si="2"/>
        <v>0</v>
      </c>
      <c r="K20">
        <f t="shared" si="3"/>
        <v>1</v>
      </c>
    </row>
    <row r="21" spans="1:11">
      <c r="A21">
        <v>880</v>
      </c>
      <c r="B21">
        <v>438</v>
      </c>
      <c r="C21">
        <v>481</v>
      </c>
      <c r="D21">
        <v>0</v>
      </c>
      <c r="E21">
        <v>880</v>
      </c>
      <c r="G21">
        <v>880</v>
      </c>
      <c r="H21">
        <f t="shared" si="0"/>
        <v>0.497727272727273</v>
      </c>
      <c r="I21">
        <f t="shared" si="1"/>
        <v>0.546590909090909</v>
      </c>
      <c r="J21">
        <f t="shared" si="2"/>
        <v>0</v>
      </c>
      <c r="K21">
        <f t="shared" si="3"/>
        <v>1</v>
      </c>
    </row>
    <row r="22" spans="1:11">
      <c r="A22">
        <v>900</v>
      </c>
      <c r="B22">
        <v>441</v>
      </c>
      <c r="C22">
        <v>493</v>
      </c>
      <c r="D22">
        <v>0</v>
      </c>
      <c r="E22">
        <v>900</v>
      </c>
      <c r="G22">
        <v>900</v>
      </c>
      <c r="H22">
        <f t="shared" si="0"/>
        <v>0.49</v>
      </c>
      <c r="I22">
        <f t="shared" si="1"/>
        <v>0.547777777777778</v>
      </c>
      <c r="J22">
        <f t="shared" si="2"/>
        <v>0</v>
      </c>
      <c r="K22">
        <f t="shared" si="3"/>
        <v>1</v>
      </c>
    </row>
    <row r="23" spans="1:11">
      <c r="A23">
        <v>920</v>
      </c>
      <c r="B23">
        <v>456</v>
      </c>
      <c r="C23">
        <v>507</v>
      </c>
      <c r="D23">
        <v>0</v>
      </c>
      <c r="E23">
        <v>920</v>
      </c>
      <c r="G23">
        <v>920</v>
      </c>
      <c r="H23">
        <f t="shared" si="0"/>
        <v>0.495652173913044</v>
      </c>
      <c r="I23">
        <f t="shared" si="1"/>
        <v>0.551086956521739</v>
      </c>
      <c r="J23">
        <f t="shared" si="2"/>
        <v>0</v>
      </c>
      <c r="K23">
        <f t="shared" si="3"/>
        <v>1</v>
      </c>
    </row>
    <row r="24" spans="1:11">
      <c r="A24">
        <v>940</v>
      </c>
      <c r="B24">
        <v>475</v>
      </c>
      <c r="C24">
        <v>519</v>
      </c>
      <c r="D24">
        <v>0</v>
      </c>
      <c r="E24">
        <v>940</v>
      </c>
      <c r="G24">
        <v>940</v>
      </c>
      <c r="H24">
        <f t="shared" si="0"/>
        <v>0.50531914893617</v>
      </c>
      <c r="I24">
        <f t="shared" si="1"/>
        <v>0.552127659574468</v>
      </c>
      <c r="J24">
        <f t="shared" si="2"/>
        <v>0</v>
      </c>
      <c r="K24">
        <f t="shared" si="3"/>
        <v>1</v>
      </c>
    </row>
    <row r="25" spans="1:11">
      <c r="A25">
        <v>960</v>
      </c>
      <c r="B25">
        <v>492</v>
      </c>
      <c r="C25">
        <v>532</v>
      </c>
      <c r="D25">
        <v>0</v>
      </c>
      <c r="E25">
        <v>960</v>
      </c>
      <c r="G25">
        <v>960</v>
      </c>
      <c r="H25">
        <f t="shared" si="0"/>
        <v>0.5125</v>
      </c>
      <c r="I25">
        <f t="shared" si="1"/>
        <v>0.554166666666667</v>
      </c>
      <c r="J25">
        <f t="shared" si="2"/>
        <v>0</v>
      </c>
      <c r="K25">
        <f t="shared" si="3"/>
        <v>1</v>
      </c>
    </row>
    <row r="26" spans="1:11">
      <c r="A26">
        <v>980</v>
      </c>
      <c r="B26">
        <v>501</v>
      </c>
      <c r="C26">
        <v>542</v>
      </c>
      <c r="D26">
        <v>0</v>
      </c>
      <c r="E26">
        <v>980</v>
      </c>
      <c r="G26">
        <v>980</v>
      </c>
      <c r="H26">
        <f t="shared" si="0"/>
        <v>0.511224489795918</v>
      </c>
      <c r="I26">
        <f t="shared" si="1"/>
        <v>0.553061224489796</v>
      </c>
      <c r="J26">
        <f t="shared" si="2"/>
        <v>0</v>
      </c>
      <c r="K26">
        <f t="shared" si="3"/>
        <v>1</v>
      </c>
    </row>
    <row r="27" spans="1:11">
      <c r="A27">
        <v>1000</v>
      </c>
      <c r="B27">
        <v>513</v>
      </c>
      <c r="C27">
        <v>552</v>
      </c>
      <c r="D27">
        <v>0</v>
      </c>
      <c r="E27">
        <v>1000</v>
      </c>
      <c r="G27">
        <v>1000</v>
      </c>
      <c r="H27">
        <f t="shared" si="0"/>
        <v>0.513</v>
      </c>
      <c r="I27">
        <f t="shared" si="1"/>
        <v>0.552</v>
      </c>
      <c r="J27">
        <f t="shared" si="2"/>
        <v>0</v>
      </c>
      <c r="K27">
        <f t="shared" si="3"/>
        <v>1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A19" workbookViewId="0">
      <selection activeCell="J36" sqref="J36"/>
    </sheetView>
  </sheetViews>
  <sheetFormatPr defaultColWidth="9" defaultRowHeight="14"/>
  <sheetData>
    <row r="1" spans="2:11">
      <c r="B1" t="s">
        <v>16</v>
      </c>
      <c r="C1" t="s">
        <v>17</v>
      </c>
      <c r="D1" t="s">
        <v>18</v>
      </c>
      <c r="E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500</v>
      </c>
      <c r="B2">
        <v>220</v>
      </c>
      <c r="C2">
        <v>280</v>
      </c>
      <c r="D2">
        <v>0</v>
      </c>
      <c r="E2">
        <v>500</v>
      </c>
      <c r="G2">
        <v>500</v>
      </c>
      <c r="H2">
        <f>B2/A2</f>
        <v>0.44</v>
      </c>
      <c r="I2">
        <f>C2/A2</f>
        <v>0.56</v>
      </c>
      <c r="J2">
        <f>D2/A2</f>
        <v>0</v>
      </c>
      <c r="K2">
        <f>E2/A2</f>
        <v>1</v>
      </c>
    </row>
    <row r="3" spans="1:11">
      <c r="A3">
        <v>520</v>
      </c>
      <c r="B3">
        <v>236</v>
      </c>
      <c r="C3">
        <v>292</v>
      </c>
      <c r="D3">
        <v>0</v>
      </c>
      <c r="E3">
        <v>520</v>
      </c>
      <c r="G3">
        <v>520</v>
      </c>
      <c r="H3">
        <f t="shared" ref="H3:H27" si="0">B3/A3</f>
        <v>0.453846153846154</v>
      </c>
      <c r="I3">
        <f t="shared" ref="I3:I27" si="1">C3/A3</f>
        <v>0.561538461538462</v>
      </c>
      <c r="J3">
        <f t="shared" ref="J3:J27" si="2">D3/A3</f>
        <v>0</v>
      </c>
      <c r="K3">
        <f t="shared" ref="K3:K27" si="3">E3/A3</f>
        <v>1</v>
      </c>
    </row>
    <row r="4" spans="1:11">
      <c r="A4">
        <v>540</v>
      </c>
      <c r="B4">
        <v>256</v>
      </c>
      <c r="C4">
        <v>305</v>
      </c>
      <c r="D4">
        <v>0</v>
      </c>
      <c r="E4">
        <v>540</v>
      </c>
      <c r="G4">
        <v>540</v>
      </c>
      <c r="H4">
        <f t="shared" si="0"/>
        <v>0.474074074074074</v>
      </c>
      <c r="I4">
        <f t="shared" si="1"/>
        <v>0.564814814814815</v>
      </c>
      <c r="J4">
        <f t="shared" si="2"/>
        <v>0</v>
      </c>
      <c r="K4">
        <f t="shared" si="3"/>
        <v>1</v>
      </c>
    </row>
    <row r="5" spans="1:11">
      <c r="A5">
        <v>560</v>
      </c>
      <c r="B5">
        <v>271</v>
      </c>
      <c r="C5">
        <v>313</v>
      </c>
      <c r="D5">
        <v>0</v>
      </c>
      <c r="E5">
        <v>560</v>
      </c>
      <c r="G5">
        <v>560</v>
      </c>
      <c r="H5">
        <f t="shared" si="0"/>
        <v>0.483928571428571</v>
      </c>
      <c r="I5">
        <f t="shared" si="1"/>
        <v>0.558928571428571</v>
      </c>
      <c r="J5">
        <f t="shared" si="2"/>
        <v>0</v>
      </c>
      <c r="K5">
        <f t="shared" si="3"/>
        <v>1</v>
      </c>
    </row>
    <row r="6" spans="1:11">
      <c r="A6">
        <v>580</v>
      </c>
      <c r="B6">
        <v>290</v>
      </c>
      <c r="C6">
        <v>324</v>
      </c>
      <c r="D6">
        <v>0</v>
      </c>
      <c r="E6">
        <v>580</v>
      </c>
      <c r="G6">
        <v>580</v>
      </c>
      <c r="H6">
        <f t="shared" si="0"/>
        <v>0.5</v>
      </c>
      <c r="I6">
        <f t="shared" si="1"/>
        <v>0.558620689655172</v>
      </c>
      <c r="J6">
        <f t="shared" si="2"/>
        <v>0</v>
      </c>
      <c r="K6">
        <f t="shared" si="3"/>
        <v>1</v>
      </c>
    </row>
    <row r="7" spans="1:11">
      <c r="A7">
        <v>600</v>
      </c>
      <c r="B7">
        <v>308</v>
      </c>
      <c r="C7">
        <v>337</v>
      </c>
      <c r="D7">
        <v>0</v>
      </c>
      <c r="E7">
        <v>600</v>
      </c>
      <c r="G7">
        <v>600</v>
      </c>
      <c r="H7">
        <f t="shared" si="0"/>
        <v>0.513333333333333</v>
      </c>
      <c r="I7">
        <f t="shared" si="1"/>
        <v>0.561666666666667</v>
      </c>
      <c r="J7">
        <f t="shared" si="2"/>
        <v>0</v>
      </c>
      <c r="K7">
        <f t="shared" si="3"/>
        <v>1</v>
      </c>
    </row>
    <row r="8" spans="1:11">
      <c r="A8">
        <v>620</v>
      </c>
      <c r="B8">
        <v>323</v>
      </c>
      <c r="C8">
        <v>355</v>
      </c>
      <c r="D8">
        <v>0</v>
      </c>
      <c r="E8">
        <v>620</v>
      </c>
      <c r="G8">
        <v>620</v>
      </c>
      <c r="H8">
        <f t="shared" si="0"/>
        <v>0.520967741935484</v>
      </c>
      <c r="I8">
        <f t="shared" si="1"/>
        <v>0.57258064516129</v>
      </c>
      <c r="J8">
        <f t="shared" si="2"/>
        <v>0</v>
      </c>
      <c r="K8">
        <f t="shared" si="3"/>
        <v>1</v>
      </c>
    </row>
    <row r="9" spans="1:11">
      <c r="A9">
        <v>640</v>
      </c>
      <c r="B9">
        <v>330</v>
      </c>
      <c r="C9">
        <v>368</v>
      </c>
      <c r="D9">
        <v>0</v>
      </c>
      <c r="E9">
        <v>640</v>
      </c>
      <c r="G9">
        <v>640</v>
      </c>
      <c r="H9">
        <f t="shared" si="0"/>
        <v>0.515625</v>
      </c>
      <c r="I9">
        <f t="shared" si="1"/>
        <v>0.575</v>
      </c>
      <c r="J9">
        <f t="shared" si="2"/>
        <v>0</v>
      </c>
      <c r="K9">
        <f t="shared" si="3"/>
        <v>1</v>
      </c>
    </row>
    <row r="10" spans="1:11">
      <c r="A10">
        <v>660</v>
      </c>
      <c r="B10">
        <v>330</v>
      </c>
      <c r="C10">
        <v>377</v>
      </c>
      <c r="D10">
        <v>0</v>
      </c>
      <c r="E10">
        <v>660</v>
      </c>
      <c r="G10">
        <v>660</v>
      </c>
      <c r="H10">
        <f t="shared" si="0"/>
        <v>0.5</v>
      </c>
      <c r="I10">
        <f t="shared" si="1"/>
        <v>0.571212121212121</v>
      </c>
      <c r="J10">
        <f t="shared" si="2"/>
        <v>0</v>
      </c>
      <c r="K10">
        <f t="shared" si="3"/>
        <v>1</v>
      </c>
    </row>
    <row r="11" spans="1:11">
      <c r="A11">
        <v>680</v>
      </c>
      <c r="B11">
        <v>330</v>
      </c>
      <c r="C11">
        <v>389</v>
      </c>
      <c r="D11">
        <v>0</v>
      </c>
      <c r="E11">
        <v>680</v>
      </c>
      <c r="G11">
        <v>680</v>
      </c>
      <c r="H11">
        <f t="shared" si="0"/>
        <v>0.485294117647059</v>
      </c>
      <c r="I11">
        <f t="shared" si="1"/>
        <v>0.572058823529412</v>
      </c>
      <c r="J11">
        <f t="shared" si="2"/>
        <v>0</v>
      </c>
      <c r="K11">
        <f t="shared" si="3"/>
        <v>1</v>
      </c>
    </row>
    <row r="12" spans="1:11">
      <c r="A12">
        <v>700</v>
      </c>
      <c r="B12">
        <v>330</v>
      </c>
      <c r="C12">
        <v>399</v>
      </c>
      <c r="D12">
        <v>0</v>
      </c>
      <c r="E12">
        <v>700</v>
      </c>
      <c r="G12">
        <v>700</v>
      </c>
      <c r="H12">
        <f t="shared" si="0"/>
        <v>0.471428571428571</v>
      </c>
      <c r="I12">
        <f t="shared" si="1"/>
        <v>0.57</v>
      </c>
      <c r="J12">
        <f t="shared" si="2"/>
        <v>0</v>
      </c>
      <c r="K12">
        <f t="shared" si="3"/>
        <v>1</v>
      </c>
    </row>
    <row r="13" spans="1:11">
      <c r="A13">
        <v>720</v>
      </c>
      <c r="B13">
        <v>346</v>
      </c>
      <c r="C13">
        <v>411</v>
      </c>
      <c r="D13">
        <v>0</v>
      </c>
      <c r="E13">
        <v>720</v>
      </c>
      <c r="G13">
        <v>720</v>
      </c>
      <c r="H13">
        <f t="shared" si="0"/>
        <v>0.480555555555556</v>
      </c>
      <c r="I13">
        <f t="shared" si="1"/>
        <v>0.570833333333333</v>
      </c>
      <c r="J13">
        <f t="shared" si="2"/>
        <v>0</v>
      </c>
      <c r="K13">
        <f t="shared" si="3"/>
        <v>1</v>
      </c>
    </row>
    <row r="14" spans="1:11">
      <c r="A14">
        <v>740</v>
      </c>
      <c r="B14">
        <v>365</v>
      </c>
      <c r="C14">
        <v>423</v>
      </c>
      <c r="D14">
        <v>0</v>
      </c>
      <c r="E14">
        <v>740</v>
      </c>
      <c r="G14">
        <v>740</v>
      </c>
      <c r="H14">
        <f t="shared" si="0"/>
        <v>0.493243243243243</v>
      </c>
      <c r="I14">
        <f t="shared" si="1"/>
        <v>0.571621621621622</v>
      </c>
      <c r="J14">
        <f t="shared" si="2"/>
        <v>0</v>
      </c>
      <c r="K14">
        <f t="shared" si="3"/>
        <v>1</v>
      </c>
    </row>
    <row r="15" spans="1:11">
      <c r="A15">
        <v>760</v>
      </c>
      <c r="B15">
        <v>382</v>
      </c>
      <c r="C15">
        <v>433</v>
      </c>
      <c r="D15">
        <v>0</v>
      </c>
      <c r="E15">
        <v>760</v>
      </c>
      <c r="G15">
        <v>760</v>
      </c>
      <c r="H15">
        <f t="shared" si="0"/>
        <v>0.502631578947368</v>
      </c>
      <c r="I15">
        <f t="shared" si="1"/>
        <v>0.569736842105263</v>
      </c>
      <c r="J15">
        <f t="shared" si="2"/>
        <v>0</v>
      </c>
      <c r="K15">
        <f t="shared" si="3"/>
        <v>1</v>
      </c>
    </row>
    <row r="16" spans="1:11">
      <c r="A16">
        <v>780</v>
      </c>
      <c r="B16">
        <v>399</v>
      </c>
      <c r="C16">
        <v>445</v>
      </c>
      <c r="D16">
        <v>0</v>
      </c>
      <c r="E16">
        <v>780</v>
      </c>
      <c r="G16">
        <v>780</v>
      </c>
      <c r="H16">
        <f t="shared" si="0"/>
        <v>0.511538461538461</v>
      </c>
      <c r="I16">
        <f t="shared" si="1"/>
        <v>0.57051282051282</v>
      </c>
      <c r="J16">
        <f t="shared" si="2"/>
        <v>0</v>
      </c>
      <c r="K16">
        <f t="shared" si="3"/>
        <v>1</v>
      </c>
    </row>
    <row r="17" spans="1:11">
      <c r="A17">
        <v>800</v>
      </c>
      <c r="B17">
        <v>415</v>
      </c>
      <c r="C17">
        <v>452</v>
      </c>
      <c r="D17">
        <v>0</v>
      </c>
      <c r="E17">
        <v>800</v>
      </c>
      <c r="G17">
        <v>800</v>
      </c>
      <c r="H17">
        <f t="shared" si="0"/>
        <v>0.51875</v>
      </c>
      <c r="I17">
        <f t="shared" si="1"/>
        <v>0.565</v>
      </c>
      <c r="J17">
        <f t="shared" si="2"/>
        <v>0</v>
      </c>
      <c r="K17">
        <f t="shared" si="3"/>
        <v>1</v>
      </c>
    </row>
    <row r="18" spans="1:11">
      <c r="A18">
        <v>820</v>
      </c>
      <c r="B18">
        <v>431</v>
      </c>
      <c r="C18">
        <v>464</v>
      </c>
      <c r="D18">
        <v>0</v>
      </c>
      <c r="E18">
        <v>820</v>
      </c>
      <c r="G18">
        <v>820</v>
      </c>
      <c r="H18">
        <f t="shared" si="0"/>
        <v>0.525609756097561</v>
      </c>
      <c r="I18">
        <f t="shared" si="1"/>
        <v>0.565853658536585</v>
      </c>
      <c r="J18">
        <f t="shared" si="2"/>
        <v>0</v>
      </c>
      <c r="K18">
        <f t="shared" si="3"/>
        <v>1</v>
      </c>
    </row>
    <row r="19" spans="1:11">
      <c r="A19">
        <v>840</v>
      </c>
      <c r="B19">
        <v>440</v>
      </c>
      <c r="C19">
        <v>475</v>
      </c>
      <c r="D19">
        <v>0</v>
      </c>
      <c r="E19">
        <v>840</v>
      </c>
      <c r="G19">
        <v>840</v>
      </c>
      <c r="H19">
        <f t="shared" si="0"/>
        <v>0.523809523809524</v>
      </c>
      <c r="I19">
        <f t="shared" si="1"/>
        <v>0.56547619047619</v>
      </c>
      <c r="J19">
        <f t="shared" si="2"/>
        <v>0</v>
      </c>
      <c r="K19">
        <f t="shared" si="3"/>
        <v>1</v>
      </c>
    </row>
    <row r="20" spans="1:11">
      <c r="A20">
        <v>860</v>
      </c>
      <c r="B20">
        <v>440</v>
      </c>
      <c r="C20">
        <v>485</v>
      </c>
      <c r="D20">
        <v>0</v>
      </c>
      <c r="E20">
        <v>860</v>
      </c>
      <c r="G20">
        <v>860</v>
      </c>
      <c r="H20">
        <f t="shared" si="0"/>
        <v>0.511627906976744</v>
      </c>
      <c r="I20">
        <f t="shared" si="1"/>
        <v>0.563953488372093</v>
      </c>
      <c r="J20">
        <f t="shared" si="2"/>
        <v>0</v>
      </c>
      <c r="K20">
        <f t="shared" si="3"/>
        <v>1</v>
      </c>
    </row>
    <row r="21" spans="1:11">
      <c r="A21">
        <v>880</v>
      </c>
      <c r="B21">
        <v>440</v>
      </c>
      <c r="C21">
        <v>495</v>
      </c>
      <c r="D21">
        <v>0</v>
      </c>
      <c r="E21">
        <v>880</v>
      </c>
      <c r="G21">
        <v>880</v>
      </c>
      <c r="H21">
        <f t="shared" si="0"/>
        <v>0.5</v>
      </c>
      <c r="I21">
        <f t="shared" si="1"/>
        <v>0.5625</v>
      </c>
      <c r="J21">
        <f t="shared" si="2"/>
        <v>0</v>
      </c>
      <c r="K21">
        <f t="shared" si="3"/>
        <v>1</v>
      </c>
    </row>
    <row r="22" spans="1:11">
      <c r="A22">
        <v>900</v>
      </c>
      <c r="B22">
        <v>440</v>
      </c>
      <c r="C22">
        <v>509</v>
      </c>
      <c r="D22">
        <v>0</v>
      </c>
      <c r="E22">
        <v>900</v>
      </c>
      <c r="G22">
        <v>900</v>
      </c>
      <c r="H22">
        <f t="shared" si="0"/>
        <v>0.488888888888889</v>
      </c>
      <c r="I22">
        <f t="shared" si="1"/>
        <v>0.565555555555556</v>
      </c>
      <c r="J22">
        <f t="shared" si="2"/>
        <v>0</v>
      </c>
      <c r="K22">
        <f t="shared" si="3"/>
        <v>1</v>
      </c>
    </row>
    <row r="23" spans="1:11">
      <c r="A23">
        <v>920</v>
      </c>
      <c r="B23">
        <v>456</v>
      </c>
      <c r="C23">
        <v>521</v>
      </c>
      <c r="D23">
        <v>0</v>
      </c>
      <c r="E23">
        <v>920</v>
      </c>
      <c r="G23">
        <v>920</v>
      </c>
      <c r="H23">
        <f t="shared" si="0"/>
        <v>0.495652173913044</v>
      </c>
      <c r="I23">
        <f t="shared" si="1"/>
        <v>0.566304347826087</v>
      </c>
      <c r="J23">
        <f t="shared" si="2"/>
        <v>0</v>
      </c>
      <c r="K23">
        <f t="shared" si="3"/>
        <v>1</v>
      </c>
    </row>
    <row r="24" spans="1:11">
      <c r="A24">
        <v>940</v>
      </c>
      <c r="B24">
        <v>475</v>
      </c>
      <c r="C24">
        <v>526</v>
      </c>
      <c r="D24">
        <v>0</v>
      </c>
      <c r="E24">
        <v>940</v>
      </c>
      <c r="G24">
        <v>940</v>
      </c>
      <c r="H24">
        <f t="shared" si="0"/>
        <v>0.50531914893617</v>
      </c>
      <c r="I24">
        <f t="shared" si="1"/>
        <v>0.559574468085106</v>
      </c>
      <c r="J24">
        <f t="shared" si="2"/>
        <v>0</v>
      </c>
      <c r="K24">
        <f t="shared" si="3"/>
        <v>1</v>
      </c>
    </row>
    <row r="25" spans="1:11">
      <c r="A25">
        <v>960</v>
      </c>
      <c r="B25">
        <v>491</v>
      </c>
      <c r="C25">
        <v>537</v>
      </c>
      <c r="D25">
        <v>0</v>
      </c>
      <c r="E25">
        <v>960</v>
      </c>
      <c r="G25">
        <v>960</v>
      </c>
      <c r="H25">
        <f t="shared" si="0"/>
        <v>0.511458333333333</v>
      </c>
      <c r="I25">
        <f t="shared" si="1"/>
        <v>0.559375</v>
      </c>
      <c r="J25">
        <f t="shared" si="2"/>
        <v>0</v>
      </c>
      <c r="K25">
        <f t="shared" si="3"/>
        <v>1</v>
      </c>
    </row>
    <row r="26" spans="1:11">
      <c r="A26">
        <v>980</v>
      </c>
      <c r="B26">
        <v>507</v>
      </c>
      <c r="C26">
        <v>545</v>
      </c>
      <c r="D26">
        <v>0</v>
      </c>
      <c r="E26">
        <v>980</v>
      </c>
      <c r="G26">
        <v>980</v>
      </c>
      <c r="H26">
        <f t="shared" si="0"/>
        <v>0.51734693877551</v>
      </c>
      <c r="I26">
        <f t="shared" si="1"/>
        <v>0.556122448979592</v>
      </c>
      <c r="J26">
        <f t="shared" si="2"/>
        <v>0</v>
      </c>
      <c r="K26">
        <f t="shared" si="3"/>
        <v>1</v>
      </c>
    </row>
    <row r="27" spans="1:11">
      <c r="A27">
        <v>1000</v>
      </c>
      <c r="B27">
        <v>523</v>
      </c>
      <c r="C27">
        <v>556</v>
      </c>
      <c r="D27">
        <v>0</v>
      </c>
      <c r="E27">
        <v>1000</v>
      </c>
      <c r="G27">
        <v>1000</v>
      </c>
      <c r="H27">
        <f t="shared" si="0"/>
        <v>0.523</v>
      </c>
      <c r="I27">
        <f t="shared" si="1"/>
        <v>0.556</v>
      </c>
      <c r="J27">
        <f t="shared" si="2"/>
        <v>0</v>
      </c>
      <c r="K27">
        <f t="shared" si="3"/>
        <v>1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M10" sqref="M10"/>
    </sheetView>
  </sheetViews>
  <sheetFormatPr defaultColWidth="9" defaultRowHeight="14"/>
  <sheetData>
    <row r="1" spans="1:1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>
      <c r="A2">
        <v>0.995</v>
      </c>
      <c r="B2">
        <v>1</v>
      </c>
      <c r="C2">
        <v>0.94</v>
      </c>
      <c r="D2">
        <v>1</v>
      </c>
      <c r="E2">
        <v>0.95</v>
      </c>
      <c r="F2">
        <v>0.95</v>
      </c>
      <c r="H2">
        <f t="shared" ref="H2:M2" si="0">MEDIAN(A2:A11)</f>
        <v>0.995</v>
      </c>
      <c r="I2">
        <f t="shared" si="0"/>
        <v>0.9605</v>
      </c>
      <c r="J2">
        <f t="shared" si="0"/>
        <v>0.9425</v>
      </c>
      <c r="K2">
        <f t="shared" si="0"/>
        <v>1</v>
      </c>
      <c r="L2">
        <f t="shared" si="0"/>
        <v>0.9475</v>
      </c>
      <c r="M2">
        <f t="shared" si="0"/>
        <v>0.95</v>
      </c>
    </row>
    <row r="3" spans="1:14">
      <c r="A3">
        <v>1</v>
      </c>
      <c r="B3">
        <v>1</v>
      </c>
      <c r="C3">
        <v>0.811</v>
      </c>
      <c r="D3">
        <v>1</v>
      </c>
      <c r="E3">
        <v>0.88</v>
      </c>
      <c r="F3">
        <v>0.9</v>
      </c>
      <c r="H3">
        <f>MAX(A2:A10)-H2</f>
        <v>0.005</v>
      </c>
      <c r="I3">
        <f>MAX(B2:B11)-I2</f>
        <v>0.0395000000000001</v>
      </c>
      <c r="J3">
        <f>MAX(C2:C11)-J2</f>
        <v>0.0475000000000001</v>
      </c>
      <c r="K3">
        <f>MAX(D2:D11)-K2</f>
        <v>0</v>
      </c>
      <c r="L3">
        <f>MAX(E2:E11)-L2</f>
        <v>0.0475</v>
      </c>
      <c r="M3">
        <f>MAX(F2:F11)-M2</f>
        <v>0.05</v>
      </c>
      <c r="N3" t="s">
        <v>26</v>
      </c>
    </row>
    <row r="4" spans="1:14">
      <c r="A4">
        <v>0.995</v>
      </c>
      <c r="B4">
        <v>0.94</v>
      </c>
      <c r="C4">
        <v>0.935</v>
      </c>
      <c r="D4">
        <v>0.95</v>
      </c>
      <c r="E4">
        <v>0.91</v>
      </c>
      <c r="F4">
        <v>1</v>
      </c>
      <c r="H4">
        <f t="shared" ref="H4:M4" si="1">H2-MIN(A2:A11)</f>
        <v>0.01</v>
      </c>
      <c r="I4">
        <f t="shared" si="1"/>
        <v>0.0704999999999999</v>
      </c>
      <c r="J4">
        <f t="shared" si="1"/>
        <v>0.1315</v>
      </c>
      <c r="K4">
        <f t="shared" si="1"/>
        <v>0.1</v>
      </c>
      <c r="L4">
        <f t="shared" si="1"/>
        <v>0.1175</v>
      </c>
      <c r="M4">
        <f t="shared" si="1"/>
        <v>0.0499999999999999</v>
      </c>
      <c r="N4" t="s">
        <v>27</v>
      </c>
    </row>
    <row r="5" spans="1:6">
      <c r="A5">
        <v>0.995</v>
      </c>
      <c r="B5">
        <v>0.89</v>
      </c>
      <c r="C5">
        <v>0.985</v>
      </c>
      <c r="D5">
        <v>0.95</v>
      </c>
      <c r="E5">
        <v>0.95</v>
      </c>
      <c r="F5">
        <v>0.95</v>
      </c>
    </row>
    <row r="6" spans="1:6">
      <c r="A6">
        <v>1</v>
      </c>
      <c r="B6">
        <v>0.95</v>
      </c>
      <c r="C6">
        <v>0.925</v>
      </c>
      <c r="D6">
        <v>1</v>
      </c>
      <c r="E6">
        <v>0.83</v>
      </c>
      <c r="F6">
        <v>0.95</v>
      </c>
    </row>
    <row r="7" spans="1:6">
      <c r="A7">
        <v>1</v>
      </c>
      <c r="B7">
        <v>1</v>
      </c>
      <c r="C7">
        <v>0.99</v>
      </c>
      <c r="D7">
        <v>1</v>
      </c>
      <c r="E7">
        <v>0.94</v>
      </c>
      <c r="F7">
        <v>1</v>
      </c>
    </row>
    <row r="8" spans="1:6">
      <c r="A8">
        <v>0.995</v>
      </c>
      <c r="B8">
        <v>0.95</v>
      </c>
      <c r="C8">
        <v>0.99</v>
      </c>
      <c r="D8">
        <v>1</v>
      </c>
      <c r="E8">
        <v>0.98</v>
      </c>
      <c r="F8">
        <v>0.95</v>
      </c>
    </row>
    <row r="9" spans="1:6">
      <c r="A9">
        <v>1</v>
      </c>
      <c r="B9">
        <v>0.995</v>
      </c>
      <c r="C9">
        <v>0.945</v>
      </c>
      <c r="D9">
        <v>0.9</v>
      </c>
      <c r="E9">
        <v>0.99</v>
      </c>
      <c r="F9">
        <v>1</v>
      </c>
    </row>
    <row r="10" spans="1:6">
      <c r="A10">
        <v>0.995</v>
      </c>
      <c r="B10">
        <v>0.9</v>
      </c>
      <c r="C10">
        <v>0.94</v>
      </c>
      <c r="D10">
        <v>1</v>
      </c>
      <c r="E10">
        <v>0.945</v>
      </c>
      <c r="F10">
        <v>0.95</v>
      </c>
    </row>
    <row r="11" spans="1:6">
      <c r="A11">
        <v>0.985</v>
      </c>
      <c r="B11">
        <v>0.971</v>
      </c>
      <c r="C11">
        <v>0.99</v>
      </c>
      <c r="D11">
        <v>1</v>
      </c>
      <c r="E11">
        <v>0.995</v>
      </c>
      <c r="F11">
        <v>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view="pageLayout" zoomScaleNormal="100" showWhiteSpace="0" workbookViewId="0">
      <selection activeCell="F1" sqref="F1"/>
    </sheetView>
  </sheetViews>
  <sheetFormatPr defaultColWidth="9" defaultRowHeight="14"/>
  <sheetData>
    <row r="1" spans="1:14">
      <c r="A1" s="1" t="s">
        <v>28</v>
      </c>
      <c r="B1" t="s">
        <v>29</v>
      </c>
      <c r="C1" t="s">
        <v>30</v>
      </c>
      <c r="D1" t="s">
        <v>31</v>
      </c>
      <c r="E1" t="s">
        <v>32</v>
      </c>
      <c r="J1" s="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>
      <c r="A2" s="2">
        <v>0.68</v>
      </c>
      <c r="B2" s="2">
        <v>0.596</v>
      </c>
      <c r="C2" s="2">
        <v>0.567</v>
      </c>
      <c r="D2" s="2">
        <v>0.525</v>
      </c>
      <c r="E2" s="2">
        <v>0.521</v>
      </c>
      <c r="J2">
        <v>0.77</v>
      </c>
      <c r="K2" s="2">
        <v>0.578</v>
      </c>
      <c r="L2" s="2">
        <v>0.53</v>
      </c>
      <c r="M2" s="2">
        <v>0.592</v>
      </c>
      <c r="N2" s="2">
        <v>0.517</v>
      </c>
    </row>
    <row r="3" spans="1:14">
      <c r="A3">
        <v>0.769</v>
      </c>
      <c r="B3" s="2">
        <v>0.621</v>
      </c>
      <c r="C3" s="2">
        <v>0.575</v>
      </c>
      <c r="D3" s="2">
        <v>0.638</v>
      </c>
      <c r="E3" s="2">
        <v>0.555</v>
      </c>
      <c r="J3">
        <v>0.79</v>
      </c>
      <c r="K3" s="2">
        <v>0.676</v>
      </c>
      <c r="L3" s="2">
        <v>0.587</v>
      </c>
      <c r="M3" s="2">
        <v>0.671</v>
      </c>
      <c r="N3" s="2">
        <v>0.638</v>
      </c>
    </row>
    <row r="4" spans="1:14">
      <c r="A4">
        <v>0.782</v>
      </c>
      <c r="B4">
        <v>0.887</v>
      </c>
      <c r="C4" s="2">
        <v>0.641</v>
      </c>
      <c r="D4" s="2">
        <v>0.667</v>
      </c>
      <c r="E4" s="2">
        <v>0.575</v>
      </c>
      <c r="J4">
        <v>0.94</v>
      </c>
      <c r="K4">
        <v>0.832</v>
      </c>
      <c r="L4">
        <v>0.736</v>
      </c>
      <c r="M4" s="2">
        <v>0.682</v>
      </c>
      <c r="N4" s="2">
        <v>0.64</v>
      </c>
    </row>
    <row r="5" spans="1:14">
      <c r="A5">
        <v>0.846</v>
      </c>
      <c r="B5">
        <v>0.937</v>
      </c>
      <c r="C5">
        <v>0.878</v>
      </c>
      <c r="D5">
        <v>0.734</v>
      </c>
      <c r="E5">
        <v>0.785</v>
      </c>
      <c r="J5">
        <v>0.95</v>
      </c>
      <c r="K5">
        <v>0.841</v>
      </c>
      <c r="L5">
        <v>0.84</v>
      </c>
      <c r="M5">
        <v>0.787</v>
      </c>
      <c r="N5">
        <v>0.761</v>
      </c>
    </row>
    <row r="6" spans="1:14">
      <c r="A6">
        <v>0.891</v>
      </c>
      <c r="B6">
        <v>0.937</v>
      </c>
      <c r="C6">
        <v>0.891</v>
      </c>
      <c r="D6">
        <v>0.937</v>
      </c>
      <c r="E6">
        <v>0.821</v>
      </c>
      <c r="J6">
        <v>0.95</v>
      </c>
      <c r="K6">
        <v>0.841</v>
      </c>
      <c r="L6">
        <v>0.94</v>
      </c>
      <c r="M6">
        <v>0.884</v>
      </c>
      <c r="N6">
        <v>0.787</v>
      </c>
    </row>
    <row r="7" spans="1:14">
      <c r="A7">
        <v>0.905</v>
      </c>
      <c r="B7">
        <v>0.941</v>
      </c>
      <c r="C7">
        <v>0.891</v>
      </c>
      <c r="D7">
        <v>0.941</v>
      </c>
      <c r="E7">
        <v>0.832</v>
      </c>
      <c r="J7">
        <v>0.95</v>
      </c>
      <c r="K7">
        <v>0.891</v>
      </c>
      <c r="L7">
        <v>0.95</v>
      </c>
      <c r="M7">
        <v>0.896</v>
      </c>
      <c r="N7">
        <v>0.8</v>
      </c>
    </row>
    <row r="8" spans="1:14">
      <c r="A8">
        <v>0.932</v>
      </c>
      <c r="B8">
        <v>0.941</v>
      </c>
      <c r="C8">
        <v>0.932</v>
      </c>
      <c r="D8">
        <v>0.982</v>
      </c>
      <c r="E8">
        <v>0.896</v>
      </c>
      <c r="J8">
        <v>1</v>
      </c>
      <c r="K8">
        <v>0.941</v>
      </c>
      <c r="L8">
        <v>0.95</v>
      </c>
      <c r="M8">
        <v>0.946</v>
      </c>
      <c r="N8">
        <v>0.835</v>
      </c>
    </row>
    <row r="9" spans="1:14">
      <c r="A9">
        <v>0.991</v>
      </c>
      <c r="B9">
        <v>0.964</v>
      </c>
      <c r="C9">
        <v>0.932</v>
      </c>
      <c r="D9">
        <v>0.987</v>
      </c>
      <c r="E9">
        <v>0.935</v>
      </c>
      <c r="J9">
        <v>1</v>
      </c>
      <c r="K9">
        <v>0.941</v>
      </c>
      <c r="L9">
        <v>1</v>
      </c>
      <c r="M9">
        <v>0.95</v>
      </c>
      <c r="N9">
        <v>0.845</v>
      </c>
    </row>
    <row r="10" spans="1:14">
      <c r="A10">
        <v>0.991</v>
      </c>
      <c r="B10">
        <v>0.982</v>
      </c>
      <c r="C10">
        <v>0.937</v>
      </c>
      <c r="D10">
        <v>0.991</v>
      </c>
      <c r="E10">
        <v>0.945</v>
      </c>
      <c r="J10">
        <v>1</v>
      </c>
      <c r="K10">
        <v>0.991</v>
      </c>
      <c r="L10">
        <v>1</v>
      </c>
      <c r="M10">
        <v>0.996</v>
      </c>
      <c r="N10">
        <v>0.95</v>
      </c>
    </row>
    <row r="11" spans="1:14">
      <c r="A11">
        <v>0.995</v>
      </c>
      <c r="B11">
        <v>0.987</v>
      </c>
      <c r="C11">
        <v>0.987</v>
      </c>
      <c r="D11">
        <v>0.991</v>
      </c>
      <c r="E11">
        <v>0.945</v>
      </c>
      <c r="J11">
        <v>1</v>
      </c>
      <c r="K11">
        <v>0.991</v>
      </c>
      <c r="L11">
        <v>1</v>
      </c>
      <c r="M11">
        <v>0.996</v>
      </c>
      <c r="N11">
        <v>0.95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J9" sqref="J9"/>
    </sheetView>
  </sheetViews>
  <sheetFormatPr defaultColWidth="9" defaultRowHeight="14" outlineLevelCol="6"/>
  <sheetData>
    <row r="1" spans="1:7">
      <c r="A1" t="s">
        <v>38</v>
      </c>
      <c r="B1" t="s">
        <v>39</v>
      </c>
      <c r="C1">
        <v>0.05</v>
      </c>
      <c r="E1" t="s">
        <v>40</v>
      </c>
      <c r="F1" t="s">
        <v>39</v>
      </c>
      <c r="G1">
        <v>0.15</v>
      </c>
    </row>
    <row r="2" spans="2:7">
      <c r="B2" t="s">
        <v>41</v>
      </c>
      <c r="C2">
        <v>0.1</v>
      </c>
      <c r="F2" t="s">
        <v>41</v>
      </c>
      <c r="G2">
        <v>0.15</v>
      </c>
    </row>
    <row r="3" spans="2:7">
      <c r="B3" t="s">
        <v>42</v>
      </c>
      <c r="C3">
        <v>0.3</v>
      </c>
      <c r="F3" t="s">
        <v>42</v>
      </c>
      <c r="G3">
        <v>0.45</v>
      </c>
    </row>
    <row r="4" spans="2:7">
      <c r="B4" t="s">
        <v>43</v>
      </c>
      <c r="C4">
        <v>0.35</v>
      </c>
      <c r="F4" t="s">
        <v>43</v>
      </c>
      <c r="G4">
        <v>0.65</v>
      </c>
    </row>
    <row r="5" spans="2:7">
      <c r="B5" t="s">
        <v>44</v>
      </c>
      <c r="C5">
        <v>0.45</v>
      </c>
      <c r="F5" t="s">
        <v>44</v>
      </c>
      <c r="G5">
        <v>0.75</v>
      </c>
    </row>
    <row r="6" spans="2:7">
      <c r="B6" t="s">
        <v>45</v>
      </c>
      <c r="C6">
        <v>0.6</v>
      </c>
      <c r="F6" t="s">
        <v>45</v>
      </c>
      <c r="G6">
        <v>0.85</v>
      </c>
    </row>
    <row r="7" spans="2:7">
      <c r="B7" t="s">
        <v>46</v>
      </c>
      <c r="C7">
        <v>0.7</v>
      </c>
      <c r="F7" t="s">
        <v>46</v>
      </c>
      <c r="G7">
        <v>0.9</v>
      </c>
    </row>
    <row r="8" spans="2:7">
      <c r="B8" t="s">
        <v>47</v>
      </c>
      <c r="C8">
        <v>0.85</v>
      </c>
      <c r="F8" t="s">
        <v>47</v>
      </c>
      <c r="G8">
        <v>0.95</v>
      </c>
    </row>
    <row r="9" spans="2:7">
      <c r="B9" t="s">
        <v>48</v>
      </c>
      <c r="C9">
        <v>1</v>
      </c>
      <c r="F9" t="s">
        <v>48</v>
      </c>
      <c r="G9">
        <v>1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:C15"/>
    </sheetView>
  </sheetViews>
  <sheetFormatPr defaultColWidth="8.66666666666667" defaultRowHeight="14" outlineLevelCol="2"/>
  <sheetData>
    <row r="1" spans="2:3">
      <c r="B1" t="s">
        <v>49</v>
      </c>
      <c r="C1" t="s">
        <v>4</v>
      </c>
    </row>
    <row r="2" spans="1:3">
      <c r="A2">
        <v>10</v>
      </c>
      <c r="B2">
        <v>6.19491525423728</v>
      </c>
      <c r="C2">
        <v>1.9</v>
      </c>
    </row>
    <row r="3" spans="1:3">
      <c r="A3">
        <v>15</v>
      </c>
      <c r="B3">
        <v>10.5203389830508</v>
      </c>
      <c r="C3">
        <v>6</v>
      </c>
    </row>
    <row r="4" spans="1:3">
      <c r="A4">
        <v>20</v>
      </c>
      <c r="B4">
        <v>14.5135593220338</v>
      </c>
      <c r="C4">
        <v>14.3</v>
      </c>
    </row>
    <row r="5" spans="1:3">
      <c r="A5">
        <v>25</v>
      </c>
      <c r="B5">
        <v>20.693220338983</v>
      </c>
      <c r="C5">
        <v>24.4</v>
      </c>
    </row>
    <row r="6" spans="1:3">
      <c r="A6">
        <v>30</v>
      </c>
      <c r="B6">
        <v>27.7389830508474</v>
      </c>
      <c r="C6">
        <v>30.4</v>
      </c>
    </row>
    <row r="7" spans="1:3">
      <c r="A7">
        <v>35</v>
      </c>
      <c r="B7">
        <v>32.9898305084745</v>
      </c>
      <c r="C7">
        <v>33</v>
      </c>
    </row>
    <row r="8" spans="1:3">
      <c r="A8">
        <v>40</v>
      </c>
      <c r="B8">
        <v>38.3559322033898</v>
      </c>
      <c r="C8">
        <v>32.1</v>
      </c>
    </row>
    <row r="9" spans="1:3">
      <c r="A9">
        <v>45</v>
      </c>
      <c r="B9">
        <v>41.6779661016949</v>
      </c>
      <c r="C9">
        <v>39.6</v>
      </c>
    </row>
    <row r="10" spans="1:3">
      <c r="A10">
        <v>50</v>
      </c>
      <c r="B10">
        <v>48.9915254237288</v>
      </c>
      <c r="C10">
        <v>48.7</v>
      </c>
    </row>
    <row r="11" spans="1:3">
      <c r="A11">
        <v>55</v>
      </c>
      <c r="B11">
        <v>56.964406779661</v>
      </c>
      <c r="C11">
        <v>61.5</v>
      </c>
    </row>
    <row r="12" spans="1:3">
      <c r="A12">
        <v>60</v>
      </c>
      <c r="B12">
        <v>60.5525423728813</v>
      </c>
      <c r="C12">
        <v>67.4</v>
      </c>
    </row>
    <row r="13" spans="1:3">
      <c r="A13">
        <v>65</v>
      </c>
      <c r="B13">
        <v>65.2169491525423</v>
      </c>
      <c r="C13">
        <v>69.8</v>
      </c>
    </row>
    <row r="14" spans="1:3">
      <c r="A14">
        <v>70</v>
      </c>
      <c r="B14">
        <v>65.757627118644</v>
      </c>
      <c r="C14">
        <v>72.4</v>
      </c>
    </row>
    <row r="15" spans="1:3">
      <c r="A15">
        <v>75</v>
      </c>
      <c r="B15">
        <v>66.1711864406779</v>
      </c>
      <c r="C15">
        <v>72.6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6"/>
  <sheetViews>
    <sheetView workbookViewId="0">
      <selection activeCell="C21" sqref="C21"/>
    </sheetView>
  </sheetViews>
  <sheetFormatPr defaultColWidth="8.66666666666667" defaultRowHeight="14" outlineLevelRow="5"/>
  <cols>
    <col min="2" max="2" width="14.9166666666667"/>
    <col min="3" max="20" width="12.6666666666667"/>
  </cols>
  <sheetData>
    <row r="3" spans="1:20">
      <c r="A3" t="s">
        <v>5</v>
      </c>
      <c r="B3">
        <v>0.0107364341085272</v>
      </c>
      <c r="C3">
        <v>0.0116666666666667</v>
      </c>
      <c r="D3">
        <v>0.01</v>
      </c>
      <c r="E3">
        <v>0.010919540229885</v>
      </c>
      <c r="F3">
        <v>0.00615026595744683</v>
      </c>
      <c r="G3">
        <v>0.00406403940886701</v>
      </c>
      <c r="H3">
        <v>0.00648395721925132</v>
      </c>
      <c r="I3">
        <v>0.00386554621848733</v>
      </c>
      <c r="J3">
        <v>0.0136446886446887</v>
      </c>
      <c r="K3">
        <v>0.00782169890664419</v>
      </c>
      <c r="L3">
        <v>0.00588235294117645</v>
      </c>
      <c r="M3">
        <v>0.0036774628879892</v>
      </c>
      <c r="N3">
        <v>0.00483193277310922</v>
      </c>
      <c r="O3">
        <v>0.00434782608695649</v>
      </c>
      <c r="P3">
        <v>0.00777777777777777</v>
      </c>
      <c r="Q3">
        <v>0.00773809523809532</v>
      </c>
      <c r="R3">
        <v>0.00583164300202843</v>
      </c>
      <c r="S3">
        <v>0.00448369565217388</v>
      </c>
      <c r="T3">
        <v>0.00607088989441928</v>
      </c>
    </row>
    <row r="4" spans="1:20">
      <c r="A4" t="s">
        <v>6</v>
      </c>
      <c r="B4">
        <v>0.00315245478036174</v>
      </c>
      <c r="C4">
        <v>0.009</v>
      </c>
      <c r="D4">
        <v>0.00530612244897965</v>
      </c>
      <c r="E4">
        <v>0.00748299319727896</v>
      </c>
      <c r="F4">
        <v>0.00417747794499223</v>
      </c>
      <c r="G4">
        <v>0.00464285714285706</v>
      </c>
      <c r="H4">
        <v>0.00504545454545457</v>
      </c>
      <c r="I4">
        <v>0.00654261704681868</v>
      </c>
      <c r="J4">
        <v>0.0126410256410256</v>
      </c>
      <c r="K4">
        <v>0.00501355013550131</v>
      </c>
      <c r="L4">
        <v>0.0066176470588235</v>
      </c>
      <c r="M4">
        <v>0.00504971219256933</v>
      </c>
      <c r="N4">
        <v>0.00440199335548174</v>
      </c>
      <c r="O4">
        <v>0.00440217391304342</v>
      </c>
      <c r="P4">
        <v>0.00438438438438437</v>
      </c>
      <c r="Q4">
        <v>0.00406504065040647</v>
      </c>
      <c r="R4">
        <v>0.0024281805745554</v>
      </c>
      <c r="S4">
        <v>0.00489130434782603</v>
      </c>
      <c r="T4">
        <v>0.00267094017094016</v>
      </c>
    </row>
    <row r="5" spans="2:20">
      <c r="B5">
        <v>100</v>
      </c>
      <c r="C5">
        <v>150</v>
      </c>
      <c r="D5">
        <v>200</v>
      </c>
      <c r="E5">
        <v>250</v>
      </c>
      <c r="F5">
        <v>300</v>
      </c>
      <c r="G5">
        <v>350</v>
      </c>
      <c r="H5">
        <v>400</v>
      </c>
      <c r="I5">
        <v>450</v>
      </c>
      <c r="J5">
        <v>500</v>
      </c>
      <c r="K5">
        <v>550</v>
      </c>
      <c r="L5">
        <v>600</v>
      </c>
      <c r="M5">
        <v>650</v>
      </c>
      <c r="N5">
        <v>700</v>
      </c>
      <c r="O5">
        <v>750</v>
      </c>
      <c r="P5">
        <v>800</v>
      </c>
      <c r="Q5">
        <v>850</v>
      </c>
      <c r="R5">
        <v>900</v>
      </c>
      <c r="S5">
        <v>950</v>
      </c>
      <c r="T5">
        <v>1000</v>
      </c>
    </row>
    <row r="6" spans="1:20">
      <c r="A6" t="s">
        <v>49</v>
      </c>
      <c r="B6">
        <v>0.720930232558139</v>
      </c>
      <c r="C6">
        <v>0.73</v>
      </c>
      <c r="D6">
        <v>0.732857142857142</v>
      </c>
      <c r="E6">
        <v>0.716666666666666</v>
      </c>
      <c r="F6">
        <v>0.729787234042553</v>
      </c>
      <c r="G6">
        <v>0.732142857142857</v>
      </c>
      <c r="H6">
        <v>0.742045454545454</v>
      </c>
      <c r="I6">
        <v>0.714705882352941</v>
      </c>
      <c r="J6">
        <v>0.725641025641025</v>
      </c>
      <c r="K6">
        <v>0.74390243902439</v>
      </c>
      <c r="L6">
        <v>0.744117647058823</v>
      </c>
      <c r="M6">
        <v>0.739743589743589</v>
      </c>
      <c r="N6">
        <v>0.739285714285714</v>
      </c>
      <c r="O6">
        <v>0.720652173913043</v>
      </c>
      <c r="P6">
        <v>0.742222222222222</v>
      </c>
      <c r="Q6">
        <v>0.733333333333333</v>
      </c>
      <c r="R6">
        <v>0.733823529411764</v>
      </c>
      <c r="S6">
        <v>0.742391304347826</v>
      </c>
      <c r="T6">
        <v>0.751282051282051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diff-attack-1</vt:lpstr>
      <vt:lpstr>diff-attack-2</vt:lpstr>
      <vt:lpstr>seg-mgmt-1</vt:lpstr>
      <vt:lpstr>seg-mgmt-2</vt:lpstr>
      <vt:lpstr>rule-replace-gen-1s</vt:lpstr>
      <vt:lpstr>rule-replace-gen-0.1s</vt:lpstr>
      <vt:lpstr>rule-replace-gen-0.01s</vt:lpstr>
      <vt:lpstr>rule-replace-gen-0.1+1s</vt:lpstr>
      <vt:lpstr>rule-replace-gen-0.01+1s</vt:lpstr>
      <vt:lpstr>rule-replace-gen-0.01+0.1s</vt:lpstr>
      <vt:lpstr>rule-replace-tr-1s</vt:lpstr>
      <vt:lpstr>rule-replace-tr-0.1s</vt:lpstr>
      <vt:lpstr>rule-replace-tr-0.01s</vt:lpstr>
      <vt:lpstr>rule-replace-tr-0.1+1s</vt:lpstr>
      <vt:lpstr>rule-replace-tr-0.01+1s</vt:lpstr>
      <vt:lpstr>rule-replace-tr-0.01+0.1s</vt:lpstr>
      <vt:lpstr>auc_line-1</vt:lpstr>
      <vt:lpstr>auc_line-2</vt:lpstr>
      <vt:lpstr>auc_line-3</vt:lpstr>
      <vt:lpstr>cpu</vt:lpstr>
      <vt:lpstr>r-value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NirvanaS</dc:creator>
  <cp:lastModifiedBy>WPS_1640703126</cp:lastModifiedBy>
  <dcterms:created xsi:type="dcterms:W3CDTF">2015-06-05T18:19:00Z</dcterms:created>
  <dcterms:modified xsi:type="dcterms:W3CDTF">2022-04-04T01:23:07Z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8BC7F00F083748479F42AD1DF61E75E0</vt:lpwstr>
  </property>
  <property fmtid="{D5CDD505-2E9C-101B-9397-08002B2CF9AE}" pid="3" name="KSOProductBuildVer">
    <vt:lpwstr>2052-11.1.0.11365</vt:lpwstr>
  </property>
</Properties>
</file>